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자동화프로세스\202127065_이진혁_3주차\202127065_tc_gen\output\"/>
    </mc:Choice>
  </mc:AlternateContent>
  <xr:revisionPtr revIDLastSave="0" documentId="13_ncr:1_{7A37C6AA-A173-48FB-914C-375730EDE7D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st Cases" sheetId="1" r:id="rId1"/>
    <sheet name="Spec Issues" sheetId="2" r:id="rId2"/>
  </sheets>
  <calcPr calcId="191029"/>
</workbook>
</file>

<file path=xl/calcChain.xml><?xml version="1.0" encoding="utf-8"?>
<calcChain xmlns="http://schemas.openxmlformats.org/spreadsheetml/2006/main">
  <c r="G7" i="1" l="1"/>
  <c r="I6" i="1"/>
  <c r="G6" i="1"/>
  <c r="I5" i="1"/>
  <c r="G5" i="1"/>
  <c r="I4" i="1"/>
  <c r="G4" i="1"/>
  <c r="G3" i="1"/>
  <c r="I3" i="1" s="1"/>
  <c r="G2" i="1"/>
  <c r="I2" i="1" l="1"/>
</calcChain>
</file>

<file path=xl/sharedStrings.xml><?xml version="1.0" encoding="utf-8"?>
<sst xmlns="http://schemas.openxmlformats.org/spreadsheetml/2006/main" count="734" uniqueCount="450">
  <si>
    <t>테스트 케이스 명세서  |  Test Case Specification</t>
  </si>
  <si>
    <t>프로젝트</t>
  </si>
  <si>
    <t>테스트 케이스 자동 생성 (Test Case Generator)</t>
  </si>
  <si>
    <t>Total</t>
  </si>
  <si>
    <t>Pass Rate</t>
  </si>
  <si>
    <t>모듈</t>
  </si>
  <si>
    <t>블랙홀 키우기 (가칭) — PC 2D 인크리멘탈 클리커 코어</t>
  </si>
  <si>
    <t>Pass</t>
  </si>
  <si>
    <t>실행 완료</t>
  </si>
  <si>
    <t>작성자</t>
  </si>
  <si>
    <t>202127065</t>
  </si>
  <si>
    <t>Fail</t>
  </si>
  <si>
    <t>정상</t>
  </si>
  <si>
    <t>명세 파일</t>
  </si>
  <si>
    <t>input/SPEC-blackhole-clicker.md</t>
  </si>
  <si>
    <t>Blocked</t>
  </si>
  <si>
    <t>경계</t>
  </si>
  <si>
    <t>작성일</t>
  </si>
  <si>
    <t>2026-09-09</t>
  </si>
  <si>
    <t>N/A</t>
  </si>
  <si>
    <t>예외</t>
  </si>
  <si>
    <t>Not Run</t>
  </si>
  <si>
    <t>TC ID</t>
  </si>
  <si>
    <t>대분류</t>
  </si>
  <si>
    <t>테스트 시나리오</t>
  </si>
  <si>
    <t>우선순위</t>
  </si>
  <si>
    <t>유형</t>
  </si>
  <si>
    <t>기법</t>
  </si>
  <si>
    <t>전제조건</t>
  </si>
  <si>
    <t>테스트 절차</t>
  </si>
  <si>
    <t>테스트 데이터 / 조건</t>
  </si>
  <si>
    <t>기대 결과</t>
  </si>
  <si>
    <t>실제 결과</t>
  </si>
  <si>
    <t>상태</t>
  </si>
  <si>
    <t>비고</t>
  </si>
  <si>
    <t>TC-01</t>
  </si>
  <si>
    <t>코어 루프/웨이브 판정</t>
  </si>
  <si>
    <t>제한시간 내 쿼터 달성 → 강화 화면 → 다음 웨이브</t>
  </si>
  <si>
    <t>Low</t>
  </si>
  <si>
    <t>ST</t>
  </si>
  <si>
    <t>기준 상태(강화 노드 0개, baseAttack=10, attackInterval=1.0s, cursorRadius=60px, crit 0). 밸런싱값은 임시([가정]), 1웨이브 [가정] Q=8·T=20s</t>
  </si>
  <si>
    <t>1) 1웨이브 시작
2) 20초 안에 적 8마리 처치
3) 판정 확인</t>
  </si>
  <si>
    <t>처치 8 / 제한 20s, 경과 15s</t>
  </si>
  <si>
    <t>웨이브 클리어로 판정되어 강화 화면이 뜨고, 이후 2웨이브가 시작된다</t>
  </si>
  <si>
    <t>TC-02</t>
  </si>
  <si>
    <t>제한시간 만료 직전에 마지막 쿼터 처치</t>
  </si>
  <si>
    <t>Medium</t>
  </si>
  <si>
    <t>BVA</t>
  </si>
  <si>
    <t>1) 7마리 처치
2) t=19.9s에 8번째 처치</t>
  </si>
  <si>
    <t>T=20.0s, 8번째 처치 시각 t=19.9s</t>
  </si>
  <si>
    <t>만료 전 달성이므로 웨이브 클리어로 인정된다</t>
  </si>
  <si>
    <t>제한시간 상한 직전</t>
  </si>
  <si>
    <t>TC-03</t>
  </si>
  <si>
    <t>제한시간과 동시에 쿼터 마지막 처치</t>
  </si>
  <si>
    <t>1) 7마리 처치
2) t=20.000s에 8번째 처치(동시각)</t>
  </si>
  <si>
    <t>T=20.0s, 8번째 처치 시각 t=20.0s</t>
  </si>
  <si>
    <t>[가정] 동시각 판정(달성/미달) 규칙이 명세에 없음 — 부등호(&lt; vs ≤)를 확정해야 한다</t>
  </si>
  <si>
    <t>경계 동시각 / Spec Issues 11</t>
  </si>
  <si>
    <t>TC-04</t>
  </si>
  <si>
    <t>제한시간 만료 시 쿼터 미달 → 게임오버</t>
  </si>
  <si>
    <t>High</t>
  </si>
  <si>
    <t>1) 20초 동안 7마리만 처치
2) 제한시간 만료</t>
  </si>
  <si>
    <t>경과 20s, 처치 7 / 목표 8</t>
  </si>
  <si>
    <t>게임오버로 처리된다(쿼터형 실패)</t>
  </si>
  <si>
    <t>상한+1(시간 초과)</t>
  </si>
  <si>
    <t>TC-05</t>
  </si>
  <si>
    <t>게임오버 후 골드·강화 유지한 채 1웨이브 재시작</t>
  </si>
  <si>
    <t>3웨이브에서 시간 초과, 보유 골드 500, 고정 공격력 노드 2레벨(flatBonus=10)</t>
  </si>
  <si>
    <t>1) 3웨이브 시간 초과
2) 게임오버
3) 재시작 직후 상태 확인</t>
  </si>
  <si>
    <t>게임오버 → 재시작</t>
  </si>
  <si>
    <t>보유 골드 500과 강화(flatBonus=10)가 그대로 유지되고, 현재 웨이브만 1로 돌아간다</t>
  </si>
  <si>
    <t>TC-06</t>
  </si>
  <si>
    <t>쿼터 미달성 상태에서 다음 웨이브로 진행 시도</t>
  </si>
  <si>
    <t>기준 상태(강화 노드 0개, baseAttack=10, attackInterval=1.0s, cursorRadius=60px, crit 0). 밸런싱값은 임시([가정]), 1웨이브 진행 중</t>
  </si>
  <si>
    <t>1) 처치 5 / 목표 8, 시간 잔여
2) 강제로 '다음 웨이브' 전이 시도</t>
  </si>
  <si>
    <t>처치 5 / 8, 시간 남음</t>
  </si>
  <si>
    <t>쿼터 달성 전에는 강화 화면·다음 웨이브로 전이되지 않는다</t>
  </si>
  <si>
    <t>금지 전이</t>
  </si>
  <si>
    <t>TC-07</t>
  </si>
  <si>
    <t>커서 호버 자동 타격</t>
  </si>
  <si>
    <t>커서를 적 위에 올려두면 공격주기마다 자동 타격</t>
  </si>
  <si>
    <t>EP</t>
  </si>
  <si>
    <t>기준 상태(강화 노드 0개, baseAttack=10, attackInterval=1.0s, cursorRadius=60px, crit 0). 밸런싱값은 임시([가정]), 적 1마리가 커서 반경 내</t>
  </si>
  <si>
    <t>1) 커서를 적 위에 위치
2) 3초간 유지
3) 누적 타격 수 확인</t>
  </si>
  <si>
    <t>attackInterval=1.0s, 유지 3s</t>
  </si>
  <si>
    <t>약 1초 간격으로 3회 타격이 발생한다</t>
  </si>
  <si>
    <t>TC-08</t>
  </si>
  <si>
    <t>클릭 연타해도 추가 타격이 없음</t>
  </si>
  <si>
    <t>1) 커서를 적 위에 두고
2) 1초 동안 마우스 10회 클릭</t>
  </si>
  <si>
    <t>1초, 클릭 10회, attackInterval=1.0s</t>
  </si>
  <si>
    <t>타격은 공격주기 기준 1회만 발생하고 클릭에 의한 추가 타격은 0이다</t>
  </si>
  <si>
    <t>TC-09</t>
  </si>
  <si>
    <t>커서 반경 경계선상의 적</t>
  </si>
  <si>
    <t>기준 상태(강화 노드 0개, baseAttack=10, attackInterval=1.0s, cursorRadius=60px, crit 0). 밸런싱값은 임시([가정])</t>
  </si>
  <si>
    <t>1) 적 중심을 커서 중심에서 60.0px에 배치
2) 이어서 60.1px에 배치</t>
  </si>
  <si>
    <t>cursorRadius=60px, 거리 60.0px / 60.1px</t>
  </si>
  <si>
    <t>[가정] 60.0px(=반경)일 때 포함 여부가 명세에 없음. 60px 초과(60.1px)는 타격 대상에서 제외된다</t>
  </si>
  <si>
    <t>cursorRadius 경계 / Spec Issues 11</t>
  </si>
  <si>
    <t>TC-10</t>
  </si>
  <si>
    <t>커서를 어떤 적에도 올려두지 않음</t>
  </si>
  <si>
    <t>기준 상태(강화 노드 0개, baseAttack=10, attackInterval=1.0s, cursorRadius=60px, crit 0). 밸런싱값은 임시([가정]), 1웨이브 [가정] T=20s</t>
  </si>
  <si>
    <t>1) 커서를 빈 공간에 둠
2) 제한시간 경과</t>
  </si>
  <si>
    <t>커서가 적 위에 없음, 경과 20s</t>
  </si>
  <si>
    <t>타격 0회·처치 0으로 시간 초과 게임오버된다</t>
  </si>
  <si>
    <t>TC-11</t>
  </si>
  <si>
    <t>커서 범위 밖의 적</t>
  </si>
  <si>
    <t>1) 적을 커서 중심에서 120px 위치에 두고
2) 공격주기 경과</t>
  </si>
  <si>
    <t>cursorRadius=60px, 적 거리 120px</t>
  </si>
  <si>
    <t>범위 밖 적은 피격되지 않는다</t>
  </si>
  <si>
    <t>TC-12</t>
  </si>
  <si>
    <t>범위 안 다중 적 동시 타격</t>
  </si>
  <si>
    <t>기준 상태(강화 노드 0개, baseAttack=10, attackInterval=1.0s, cursorRadius=60px, crit 0). 밸런싱값은 임시([가정]), 커서 반경 내 적 3마리</t>
  </si>
  <si>
    <t>1) 커서를 3마리가 겹치는 위치에 두고
2) 공격주기 1회 경과</t>
  </si>
  <si>
    <t>반경 내 적 3마리</t>
  </si>
  <si>
    <t>공격주기마다 3마리가 각각 1회씩 피격된다</t>
  </si>
  <si>
    <t>TC-13</t>
  </si>
  <si>
    <t>골드 획득</t>
  </si>
  <si>
    <t>적 처치 시 골드 획득</t>
  </si>
  <si>
    <t>기준 상태(강화 노드 0개, baseAttack=10, attackInterval=1.0s, cursorRadius=60px, crit 0). 밸런싱값은 임시([가정]), goldMultPercent=0</t>
  </si>
  <si>
    <t>1) 적 1마리 처치
2) 보유 골드 확인</t>
  </si>
  <si>
    <t>goldMultPercent=0, 처치 1</t>
  </si>
  <si>
    <t>기본 처치 골드만큼 보유 골드가 증가한다</t>
  </si>
  <si>
    <t>TC-14</t>
  </si>
  <si>
    <t>골드 획득량 노드 적용 시 처치당 골드 = 기본 × (1 + goldMultPercent/100)</t>
  </si>
  <si>
    <t>기준 상태(강화 노드 0개, baseAttack=10, attackInterval=1.0s, cursorRadius=60px, crit 0). 밸런싱값은 임시([가정]), goldMultPercent=50</t>
  </si>
  <si>
    <t>1) 적 1마리 처치
2) 획득 골드 = 기본 골드와 비교</t>
  </si>
  <si>
    <t>goldMultPercent=50 → ×1.5</t>
  </si>
  <si>
    <t>처치당 골드가 기본의 1.5배로 지급된다</t>
  </si>
  <si>
    <t>골드 공식 검증</t>
  </si>
  <si>
    <t>TC-15</t>
  </si>
  <si>
    <t>웨이브 실패 시 미처치분 골드 없음</t>
  </si>
  <si>
    <t>1) 5마리 처치 후 시간 초과
2) 보유 골드 확인</t>
  </si>
  <si>
    <t>처치 5 / 목표 8, 시간 초과</t>
  </si>
  <si>
    <t>처치한 5마리분 골드만 반영되고 미처치 적에 대한 골드는 없다</t>
  </si>
  <si>
    <t>TC-16</t>
  </si>
  <si>
    <t>공격력 공식(버킷)</t>
  </si>
  <si>
    <t>노드 0개일 때 최종 공격력 = baseAttack</t>
  </si>
  <si>
    <t>1) flatBonus·multBucketPercent 모두 0
2) 최종 공격력 계산</t>
  </si>
  <si>
    <t>baseAttack=10, flatBonus=0, multBucketPercent=0</t>
  </si>
  <si>
    <t>최종 공격력 = (10 + 0) × (1 + 0) = 10</t>
  </si>
  <si>
    <t>TC-17</t>
  </si>
  <si>
    <t>고정합만 적용</t>
  </si>
  <si>
    <t>1) flatBonus=15로 설정
2) 최종 공격력 계산</t>
  </si>
  <si>
    <t>baseAttack=10, flatBonus=15, multBucketPercent=0</t>
  </si>
  <si>
    <t>최종 공격력 = (10 + 15) × 1.0 = 25</t>
  </si>
  <si>
    <t>TC-18</t>
  </si>
  <si>
    <t>고정합 + 배수 동시 적용</t>
  </si>
  <si>
    <t>DT</t>
  </si>
  <si>
    <t>1) flatBonus=15, multBucketPercent=30 설정
2) 최종 공격력 계산</t>
  </si>
  <si>
    <t>flatBonus=15, multBucketPercent=30</t>
  </si>
  <si>
    <t>최종 공격력 = (10 + 15) × (1 + 0.30) = 32.5</t>
  </si>
  <si>
    <t>TC-19</t>
  </si>
  <si>
    <t>배수 버킷 하한 (multBucketPercent = 0)</t>
  </si>
  <si>
    <t>1) multBucketPercent=0
2) 배수항 계산</t>
  </si>
  <si>
    <t>multBucketPercent=0</t>
  </si>
  <si>
    <t>배수항 = ×1.0, 최종 공격력 = baseAttack + flatBonus</t>
  </si>
  <si>
    <t>배수 버킷 하한</t>
  </si>
  <si>
    <t>TC-20</t>
  </si>
  <si>
    <t>크리티컬을 공격력 공식 안에 섞지 않음</t>
  </si>
  <si>
    <t>기준 상태(강화 노드 0개, baseAttack=10, attackInterval=1.0s, cursorRadius=60px, crit 0). 밸런싱값은 임시([가정]), critChance=0.5, critMult=2.0</t>
  </si>
  <si>
    <t>1) getHitDamage()(공식 결과) 확인
2) 크리 반영 여부 확인</t>
  </si>
  <si>
    <t>critChance=0.5, critMult=2.0</t>
  </si>
  <si>
    <t>공식 결과에는 크리가 반영되지 않고, 크리는 타격 시점(rollDamage)에만 별도로 곱해진다</t>
  </si>
  <si>
    <t>TC-21</t>
  </si>
  <si>
    <t>배수 버킷 합산·상한</t>
  </si>
  <si>
    <t>배수 노드 2개 풀강 → 합산 ×1.30</t>
  </si>
  <si>
    <t>1) 배수 노드 A 풀강(+15%)
2) 배수 노드 B 풀강(+15%)
3) 배수항 계산</t>
  </si>
  <si>
    <t>multBucketPercent = 15 + 15 = 30</t>
  </si>
  <si>
    <t>배수 = 1 + 0.30 = ×1.30 (1.15 × 1.15 = ×1.3225 아님)</t>
  </si>
  <si>
    <t>합산 방식 검증(곱셈 금지)</t>
  </si>
  <si>
    <t>TC-22</t>
  </si>
  <si>
    <t>multBucketPercent 상한 200 도달</t>
  </si>
  <si>
    <t>기준 상태(강화 노드 0개, baseAttack=10, attackInterval=1.0s, cursorRadius=60px, crit 0). 밸런싱값은 임시([가정]), multBucketPercent=197</t>
  </si>
  <si>
    <t>1) 배수 노드 1레벨(+3) 구매
2) multBucketPercent 확인</t>
  </si>
  <si>
    <t>197 → +3</t>
  </si>
  <si>
    <t>multBucketPercent = 200 (= 최종 배수 ×3.0)</t>
  </si>
  <si>
    <t>상한 도달</t>
  </si>
  <si>
    <t>TC-23</t>
  </si>
  <si>
    <t>상한 근처 +3 구매 시 200으로 클램프</t>
  </si>
  <si>
    <t>기준 상태(강화 노드 0개, baseAttack=10, attackInterval=1.0s, cursorRadius=60px, crit 0). 밸런싱값은 임시([가정]), multBucketPercent=199</t>
  </si>
  <si>
    <t>199 → +3</t>
  </si>
  <si>
    <t>min(200, 199 + 3) = 200 으로 클램프된다 (202 아님)</t>
  </si>
  <si>
    <t>상한 클램프</t>
  </si>
  <si>
    <t>TC-24</t>
  </si>
  <si>
    <t>상한 200 도달 후 배수 노드 추가 구매</t>
  </si>
  <si>
    <t>기준 상태(강화 노드 0개, baseAttack=10, attackInterval=1.0s, cursorRadius=60px, crit 0). 밸런싱값은 임시([가정]), multBucketPercent=200</t>
  </si>
  <si>
    <t>1) 배수 노드 추가 구매 시도
2) multBucketPercent 확인</t>
  </si>
  <si>
    <t>200에서 추가 구매</t>
  </si>
  <si>
    <t>multBucketPercent는 200을 유지하고 그 이상 증가하지 않는다</t>
  </si>
  <si>
    <t>상한 초과 금지</t>
  </si>
  <si>
    <t>TC-25</t>
  </si>
  <si>
    <t>단일 배수 노드 레벨 상한(0/5) 초과 구매</t>
  </si>
  <si>
    <t>기준 상태(강화 노드 0개, baseAttack=10, attackInterval=1.0s, cursorRadius=60px, crit 0). 밸런싱값은 임시([가정]), 배수 노드 하나가 5/5(풀강, +15%)</t>
  </si>
  <si>
    <t>1) 해당 노드 6레벨 구매 시도</t>
  </si>
  <si>
    <t>노드 레벨 5/5</t>
  </si>
  <si>
    <t>6레벨로는 구매할 수 없다</t>
  </si>
  <si>
    <t>노드 레벨 상한+1</t>
  </si>
  <si>
    <t>TC-26</t>
  </si>
  <si>
    <t>크리티컬(공식 바깥)</t>
  </si>
  <si>
    <t>크리 미발동 시 피해 = 최종 공격력</t>
  </si>
  <si>
    <t>기준 상태(강화 노드 0개, baseAttack=10, attackInterval=1.0s, cursorRadius=60px, crit 0). 밸런싱값은 임시([가정]), critChance=0</t>
  </si>
  <si>
    <t>1) 여러 번 타격
2) 타격 피해 확인</t>
  </si>
  <si>
    <t>critChance=0</t>
  </si>
  <si>
    <t>모든 타격이 비크리이고 피해 = 최종 공격력</t>
  </si>
  <si>
    <t>TC-27</t>
  </si>
  <si>
    <t>크리 발동 시 피해 = 최종 공격력 × critMult</t>
  </si>
  <si>
    <t>기준 상태(강화 노드 0개, baseAttack=10, attackInterval=1.0s, cursorRadius=60px, crit 0). 밸런싱값은 임시([가정]), critChance=1.0(강제), critMult=2.0</t>
  </si>
  <si>
    <t>1) 타격
2) 타격 피해 확인</t>
  </si>
  <si>
    <t>critChance=1.0, critMult=2.0</t>
  </si>
  <si>
    <t>타격 피해가 최종 공격력의 2.0배</t>
  </si>
  <si>
    <t>TC-28</t>
  </si>
  <si>
    <t>critChance 상한 0.75 도달</t>
  </si>
  <si>
    <t>기준 상태(강화 노드 0개, baseAttack=10, attackInterval=1.0s, cursorRadius=60px, crit 0). 밸런싱값은 임시([가정]), critChance=0.72</t>
  </si>
  <si>
    <t>1) 크리 확률 노드 [가정] +0.03 구매
2) critChance 확인</t>
  </si>
  <si>
    <t>0.72 → +0.03</t>
  </si>
  <si>
    <t>critChance = 0.75</t>
  </si>
  <si>
    <t>상한 도달 / [가정] 레벨당 증가량 Spec Issues 2</t>
  </si>
  <si>
    <t>TC-29</t>
  </si>
  <si>
    <t>critChance 하한 처리 (0 미만 방지)</t>
  </si>
  <si>
    <t>1) critChance 계산 결과가 0 미만이 되는 입력 주입
2) 실제 적용값 확인</t>
  </si>
  <si>
    <t>critChance 계산값 &lt; 0</t>
  </si>
  <si>
    <t>[가정] 0으로 하한 처리되어야 한다 — 명세에 하한 처리 규칙이 없음</t>
  </si>
  <si>
    <t>하한-1 / Spec Issues 2</t>
  </si>
  <si>
    <t>TC-30</t>
  </si>
  <si>
    <t>critChance 상한 초과 구매 시 클램프</t>
  </si>
  <si>
    <t>기준 상태(강화 노드 0개, baseAttack=10, attackInterval=1.0s, cursorRadius=60px, crit 0). 밸런싱값은 임시([가정]), critChance=0.75</t>
  </si>
  <si>
    <t>1) 크리 확률 노드 추가 구매 시도
2) critChance 확인</t>
  </si>
  <si>
    <t>0.75에서 추가 구매</t>
  </si>
  <si>
    <t>critChance는 0.75를 유지하고 초과되지 않는다</t>
  </si>
  <si>
    <t>TC-31</t>
  </si>
  <si>
    <t>실효 DPS 공식 반영</t>
  </si>
  <si>
    <t>최종 공격력=25, attackInterval=0.5s, critChance=0.5, critMult=2.0</t>
  </si>
  <si>
    <t>1) 위 값으로 실효 DPS 계산</t>
  </si>
  <si>
    <t>공격력 25 / 주기 0.5s / 크리 0.5 / 배수 2.0</t>
  </si>
  <si>
    <t>실효 DPS = 25 × (1/0.5) × (1 + 0.5 × (2 − 1)) = 25 × 2 × 1.5 = 75</t>
  </si>
  <si>
    <t>TC-32</t>
  </si>
  <si>
    <t>강화 노드-고정/주기/골드</t>
  </si>
  <si>
    <t>고정 공격력 노드 1회 구매 → flatBonus +5</t>
  </si>
  <si>
    <t>기준 상태(강화 노드 0개, baseAttack=10, attackInterval=1.0s, cursorRadius=60px, crit 0). 밸런싱값은 임시([가정]), flatBonus=0</t>
  </si>
  <si>
    <t>1) 고정 공격력 노드 구매
2) flatBonus·최종 공격력 확인</t>
  </si>
  <si>
    <t>flatBonus 0 → 구매</t>
  </si>
  <si>
    <t>flatBonus = 5, 최종 공격력 = (10 + 5) × 1.0 = 15</t>
  </si>
  <si>
    <t>TC-33</t>
  </si>
  <si>
    <t>공격주기 노드 구매 → attackInterval 감소 → 초당 타격 증가</t>
  </si>
  <si>
    <t>기준 상태(강화 노드 0개, baseAttack=10, attackInterval=1.0s, cursorRadius=60px, crit 0). 밸런싱값은 임시([가정]), attackInterval=1.0s</t>
  </si>
  <si>
    <t>1) 공격주기 노드 구매
2) attackInterval·초당 타격 횟수 확인</t>
  </si>
  <si>
    <t>attackInterval 1.0s → 노드 구매</t>
  </si>
  <si>
    <t>attackInterval이 1.0s 미만으로 감소하고 초당 타격 횟수가 증가한다(감소량은 명세 미정의)</t>
  </si>
  <si>
    <t>감소량·하한 Spec Issues 3</t>
  </si>
  <si>
    <t>TC-34</t>
  </si>
  <si>
    <t>공격주기 노드 과다 구매로 attackInterval ≤ 0</t>
  </si>
  <si>
    <t>기준 상태(강화 노드 0개, baseAttack=10, attackInterval=1.0s, cursorRadius=60px, crit 0). 밸런싱값은 임시([가정]), attackInterval을 0 이하로 만들 만큼 반복 구매</t>
  </si>
  <si>
    <t>1) 공격주기 노드를 계속 구매
2) attackInterval 확인</t>
  </si>
  <si>
    <t>attackInterval 계산값 ≤ 0</t>
  </si>
  <si>
    <t>[가정] attackInterval 하한이 있어 0 이하가 되지 않아야 한다 — 명세에 하한이 없음</t>
  </si>
  <si>
    <t>Spec Issues 3</t>
  </si>
  <si>
    <t>TC-35</t>
  </si>
  <si>
    <t>골드 획득량 노드 구매 후 처치당 골드 증가</t>
  </si>
  <si>
    <t>1) 골드 획득량 노드 구매
2) 처치당 골드 확인</t>
  </si>
  <si>
    <t>goldMultPercent 0 → 노드 1회</t>
  </si>
  <si>
    <t>goldMultPercent가 +% 증가하고 처치당 골드 = 기본 × (1 + goldMultPercent/100)</t>
  </si>
  <si>
    <t>레벨당 증가량 Spec Issues 4</t>
  </si>
  <si>
    <t>TC-36</t>
  </si>
  <si>
    <t>웨이브 시간 노드 상한</t>
  </si>
  <si>
    <t>웨이브 시간 노드 구매 → 제한시간 +초</t>
  </si>
  <si>
    <t>기준 상태(강화 노드 0개, baseAttack=10, attackInterval=1.0s, cursorRadius=60px, crit 0). 밸런싱값은 임시([가정]), 현재 [가정] T=20s</t>
  </si>
  <si>
    <t>1) 웨이브 시간 노드 구매
2) 다음 웨이브 제한시간 확인</t>
  </si>
  <si>
    <t>[가정] 노드당 +N초</t>
  </si>
  <si>
    <t>다음 웨이브부터 제한시간이 늘어난다</t>
  </si>
  <si>
    <t>TC-37</t>
  </si>
  <si>
    <t>웨이브 시간 노드 누적 상한 도달</t>
  </si>
  <si>
    <t>기준 상태(강화 노드 0개, baseAttack=10, attackInterval=1.0s, cursorRadius=60px, crit 0). 밸런싱값은 임시([가정]), [가정] 누적 +5초·노드 3개 상한</t>
  </si>
  <si>
    <t>1) 웨이브 시간 노드를 3개까지 구매
2) 누적 추가 시간 확인</t>
  </si>
  <si>
    <t>[가정] 3개째 구매</t>
  </si>
  <si>
    <t>[가정] 노드 3개까지 정상 구매되고 누적 +5초에 도달한다</t>
  </si>
  <si>
    <t>[가정] 상한 도달 / Spec Issues 6</t>
  </si>
  <si>
    <t>TC-38</t>
  </si>
  <si>
    <t>웨이브 시간 노드 4개째 구매 시도</t>
  </si>
  <si>
    <t>기준 상태(강화 노드 0개, baseAttack=10, attackInterval=1.0s, cursorRadius=60px, crit 0). 밸런싱값은 임시([가정]), [가정] 노드 3개 상한 도달</t>
  </si>
  <si>
    <t>1) 4개째 웨이브 시간 노드 구매 시도</t>
  </si>
  <si>
    <t>[가정] 상한(노드 3개) 초과</t>
  </si>
  <si>
    <t>구매되지 않고 제한시간이 더 늘어나지 않는다</t>
  </si>
  <si>
    <t>[가정] 상한+1 / Spec Issues 6</t>
  </si>
  <si>
    <t>TC-39</t>
  </si>
  <si>
    <t>커서 범위 노드</t>
  </si>
  <si>
    <t>커서 범위 노드 구매 → cursorRadius 확대</t>
  </si>
  <si>
    <t>기준 상태(강화 노드 0개, baseAttack=10, attackInterval=1.0s, cursorRadius=60px, crit 0). 밸런싱값은 임시([가정]), cursorRadius=60px</t>
  </si>
  <si>
    <t>1) 커서 범위 노드 구매
2) cursorRadius·타격 범위 확인</t>
  </si>
  <si>
    <t>cursorRadius 60px → 노드 구매</t>
  </si>
  <si>
    <t>cursorRadius가 60px보다 커지고 더 넓은 범위의 적이 타격된다</t>
  </si>
  <si>
    <t>TC-40</t>
  </si>
  <si>
    <t>범위 확대 후 경계 밖이던 적이 타격 대상이 됨</t>
  </si>
  <si>
    <t>기준 상태(강화 노드 0개, baseAttack=10, attackInterval=1.0s, cursorRadius=60px, crit 0). 밸런싱값은 임시([가정]), 적 거리 90px</t>
  </si>
  <si>
    <t>1) 확대 전(cursorRadius=60px) 타격 여부
2) 노드 구매로 cursorRadius=100px
3) 재확인</t>
  </si>
  <si>
    <t>적 거리 90px, cursorRadius 60 → 100px</t>
  </si>
  <si>
    <t>확대 전에는 미타격, 확대 후에는 타격 대상이 된다</t>
  </si>
  <si>
    <t>범위 경계 이동</t>
  </si>
  <si>
    <t>TC-41</t>
  </si>
  <si>
    <t>커서 범위 노드 확대량·상한 미정의</t>
  </si>
  <si>
    <t>1) 커서 범위 노드를 반복 구매
2) cursorRadius 상한 확인</t>
  </si>
  <si>
    <t>커서 범위 노드 반복 구매</t>
  </si>
  <si>
    <t>[가정] 레벨당 확대량과 상한이 명세에 없어 무한 확대 가능성이 있다 — 상한 정의 필요</t>
  </si>
  <si>
    <t>Spec Issues 7</t>
  </si>
  <si>
    <t>TC-42</t>
  </si>
  <si>
    <t>강화 구매/골드 소비</t>
  </si>
  <si>
    <t>골드 충분 시 노드 구매 → 골드 차감</t>
  </si>
  <si>
    <t>보유 골드 100, [가정] 노드 비용 30</t>
  </si>
  <si>
    <t>1) 노드 구매
2) 보유 골드·노드 레벨 확인</t>
  </si>
  <si>
    <t>보유 100, 비용 30</t>
  </si>
  <si>
    <t>노드 레벨 +1, 보유 골드 70</t>
  </si>
  <si>
    <t>TC-43</t>
  </si>
  <si>
    <t>보유 골드 &lt; 노드 비용</t>
  </si>
  <si>
    <t>보유 골드 20, [가정] 노드 비용 30</t>
  </si>
  <si>
    <t>1) 노드 구매 시도
2) 보유 골드·노드 레벨 확인</t>
  </si>
  <si>
    <t>보유 20 &lt; 비용 30</t>
  </si>
  <si>
    <t>구매되지 않고 보유 골드 20·노드 레벨이 그대로 유지된다</t>
  </si>
  <si>
    <t>TC-44</t>
  </si>
  <si>
    <t>보유 골드 = 노드 비용</t>
  </si>
  <si>
    <t>보유 골드 30, [가정] 노드 비용 30</t>
  </si>
  <si>
    <t>보유 30 = 비용 30</t>
  </si>
  <si>
    <t>구매에 성공하고 보유 골드가 0이 된다</t>
  </si>
  <si>
    <t>하한 경계(정확히 일치)</t>
  </si>
  <si>
    <t>TC-45</t>
  </si>
  <si>
    <t>최대 레벨 노드 추가 구매</t>
  </si>
  <si>
    <t>배수 노드 5/5(풀강), 골드 충분</t>
  </si>
  <si>
    <t>1) 해당 노드 추가 구매 시도</t>
  </si>
  <si>
    <t>최대 레벨이라 구매되지 않는다</t>
  </si>
  <si>
    <t>TC-46</t>
  </si>
  <si>
    <t>웨이브 진행 상태 전이</t>
  </si>
  <si>
    <t>강화 화면 → 다음 웨이브 시작 전이</t>
  </si>
  <si>
    <t>기준 상태(강화 노드 0개, baseAttack=10, attackInterval=1.0s, cursorRadius=60px, crit 0). 밸런싱값은 임시([가정]), 1웨이브 클리어 후 강화 화면</t>
  </si>
  <si>
    <t>1) 강화 화면에서 구매 또는 스킵
2) 다음 웨이브 진입 확인</t>
  </si>
  <si>
    <t>강화 화면 → 진행</t>
  </si>
  <si>
    <t>웨이브 번호가 +1 되고 새 Q·T·적 체력이 적용된다</t>
  </si>
  <si>
    <t>TC-47</t>
  </si>
  <si>
    <t>마지막(15) 보스 웨이브 도달</t>
  </si>
  <si>
    <t>기준 상태(강화 노드 0개, baseAttack=10, attackInterval=1.0s, cursorRadius=60px, crit 0). 밸런싱값은 임시([가정]), 14웨이브 클리어</t>
  </si>
  <si>
    <t>1) 14웨이브 클리어
2) 15웨이브 진입 확인</t>
  </si>
  <si>
    <t>TOTAL_WAVES=15, 14 → 15</t>
  </si>
  <si>
    <t>15웨이브(보스 웨이브)가 시작된다</t>
  </si>
  <si>
    <t>TOTAL_WAVES 경계</t>
  </si>
  <si>
    <t>TC-48</t>
  </si>
  <si>
    <t>15(보스) 웨이브 클리어 후 처리</t>
  </si>
  <si>
    <t>기준 상태(강화 노드 0개, baseAttack=10, attackInterval=1.0s, cursorRadius=60px, crit 0). 밸런싱값은 임시([가정]), 15웨이브 쿼터 달성</t>
  </si>
  <si>
    <t>1) 15웨이브 보스 처치·쿼터 달성
2) 이후 화면 확인</t>
  </si>
  <si>
    <t>마지막 웨이브 클리어</t>
  </si>
  <si>
    <t>[가정] 클리어 후 흐름(엔딩·반복·무한 모드 등)이 명세에 정의되어 있지 않다</t>
  </si>
  <si>
    <t>Spec Issues 10</t>
  </si>
  <si>
    <t>TC-49</t>
  </si>
  <si>
    <t>밸런싱 설정(waveConfig)</t>
  </si>
  <si>
    <t>1웨이브 임시값 적용</t>
  </si>
  <si>
    <t>[가정] baseQuota=8, baseTimeLimit=20, baseEnemyHp=10</t>
  </si>
  <si>
    <t>1) 새 게임 1웨이브 시작
2) Q·T·적 체력 확인</t>
  </si>
  <si>
    <t>[가정] 임시 상수</t>
  </si>
  <si>
    <t>[가정] 1웨이브가 적 체력 10·목표 8·제한 20초로 시작한다</t>
  </si>
  <si>
    <t>[가정] 전부 임시값 / Spec Issues 9</t>
  </si>
  <si>
    <t>TC-50</t>
  </si>
  <si>
    <t>웨이브별 예시 곡선식 검증</t>
  </si>
  <si>
    <t>[가정] enemyHpAt/quotaAt/timeAt 예시식, wave=5</t>
  </si>
  <si>
    <t>1) wave=5의 enemyHp·quota·time 계산</t>
  </si>
  <si>
    <t>[가정] 10×1.3^4, 8+(5-1)×2, 20</t>
  </si>
  <si>
    <t>[가정] 예시 곡선대로면 enemyHp≈28.56, quota=16, time=20 (곡선은 QA로 확정 예정)</t>
  </si>
  <si>
    <t>[가정] 곡선 미확정 / Spec Issues 9</t>
  </si>
  <si>
    <t>TC-51</t>
  </si>
  <si>
    <t>밸런싱 상수 하드코딩 여부</t>
  </si>
  <si>
    <t>구현 코드 리뷰</t>
  </si>
  <si>
    <t>1) 적 체력·쿼터·제한시간 사용처를 코드에서 검색
2) 설정 객체 분리 여부 확인</t>
  </si>
  <si>
    <t>waveConfig 분리 원칙</t>
  </si>
  <si>
    <t>체력·쿼터·시간이 waveConfig 설정 객체로 분리되어 있고 로직 곳곳에 하드코딩되어 있지 않다</t>
  </si>
  <si>
    <t>구현 체크리스트</t>
  </si>
  <si>
    <t>TC-52</t>
  </si>
  <si>
    <t>설계 제약 검증</t>
  </si>
  <si>
    <t>노드 0개 1웨이브에서 적이 즉사하지 않음(의도된 답답함)</t>
  </si>
  <si>
    <t>노드 0개, baseAttack=10, [가정] enemyHp=10, attackInterval=1.0s</t>
  </si>
  <si>
    <t>1) 1웨이브에서 적 1마리에 커서 고정
2) 처치까지 걸린 타격 수·시간 측정</t>
  </si>
  <si>
    <t>타격당 피해 10, 적 체력 10</t>
  </si>
  <si>
    <t>적 1마리 처치에 최소 1회 타격(약 1초)이 필요하다 — 즉사가 아니며 이는 버그가 아니다</t>
  </si>
  <si>
    <t>느낌① 의도 설계</t>
  </si>
  <si>
    <t>TC-53</t>
  </si>
  <si>
    <t>강화 충분 시 초반 웨이브 1초 내 처리</t>
  </si>
  <si>
    <t>고정·배수·주기 노드를 충분히 누적한 상태에서 1웨이브 재도전</t>
  </si>
  <si>
    <t>1) 강화가 쌓인 상태로 1웨이브 재시작
2) 웨이브 클리어까지 시간 측정</t>
  </si>
  <si>
    <t>누적 강화 다수</t>
  </si>
  <si>
    <t>1웨이브 적들이 1초 안에 처리되어 재밟기가 지루하지 않다</t>
  </si>
  <si>
    <t>느낌① 순삭 기준 Spec Issues 12</t>
  </si>
  <si>
    <t>TC-54</t>
  </si>
  <si>
    <t>노드 0개 1웨이브 요구 DPS vs 실제 DPS</t>
  </si>
  <si>
    <t>노드 0개, [가정] Q=8·enemyHp=10·T=20s</t>
  </si>
  <si>
    <t>1) 요구 DPS = Q×enemyHp/T 계산
2) 실제 DPS = 최종공격력×(1/attackInterval)×(1+0) 계산
3) 비교</t>
  </si>
  <si>
    <t>[가정] 요구 DPS = 8×10/20 = 4.0 / 실제 DPS = 10×1×1 = 10</t>
  </si>
  <si>
    <t>[가정] 임시값 기준으로 노드 0개로도 1웨이브는 통과 가능해야 한다(4.0 &lt; 10). 단 '순삭'은 아니어야 한다</t>
  </si>
  <si>
    <t>[가정] DPS 게이트 경계 / Spec Issues 9</t>
  </si>
  <si>
    <t>TC-55</t>
  </si>
  <si>
    <t>게임 배속 기능 호출</t>
  </si>
  <si>
    <t>게임 실행 중</t>
  </si>
  <si>
    <t>1) 배속/스킵 관련 입력·메뉴를 탐색</t>
  </si>
  <si>
    <t>배속 기능 요청</t>
  </si>
  <si>
    <t>배속 기능이 존재하지 않는다(설계상 미구현)</t>
  </si>
  <si>
    <t>TC-56</t>
  </si>
  <si>
    <t>튜토리얼 강제 노출</t>
  </si>
  <si>
    <t>앱 최초 실행</t>
  </si>
  <si>
    <t>1) 앱을 처음 실행
2) 시작 시 튜토리얼 유무 확인</t>
  </si>
  <si>
    <t>첫 실행</t>
  </si>
  <si>
    <t>튜토리얼 없이 바로 게임(1웨이브)이 시작된다</t>
  </si>
  <si>
    <t>TC-57</t>
  </si>
  <si>
    <t>클릭 연타로 웨이브 클리어 시도</t>
  </si>
  <si>
    <t>1) 커서를 적 위에 올리지 않고
2) 제한시간 내내 적을 빠르게 클릭 연타</t>
  </si>
  <si>
    <t>호버 없음, 클릭만 반복</t>
  </si>
  <si>
    <t>클릭으로는 타격이 발생하지 않아 처치가 되지 않고 시간 초과로 게임오버된다</t>
  </si>
  <si>
    <t>조작은 호버만 유효</t>
  </si>
  <si>
    <t>명세 이슈 (테스트 생성 중 발견) — input/SPEC-blackhole-clicker.md</t>
  </si>
  <si>
    <t>위치</t>
  </si>
  <si>
    <t>문제</t>
  </si>
  <si>
    <t>제안</t>
  </si>
  <si>
    <t>§5·§7 배수 계열 노드 구성</t>
  </si>
  <si>
    <t>배수(%) 노드가 몇 종인지, 각 노드 최대 레벨(0/5)로 버킷 상한 200(×3.0)에 도달하려면 몇 개가 필요한지 미정의</t>
  </si>
  <si>
    <t>배수 노드 종류 수와 노드별 최대 레벨, 상한 도달 설계 의도를 명시</t>
  </si>
  <si>
    <t>§6 크리티컬 확률 노드</t>
  </si>
  <si>
    <t>레벨당 critChance 증가량, 노드 최대 레벨, 최종 상한(60~75% 중 확정값), 0 미만 방지 하한 처리가 미정의</t>
  </si>
  <si>
    <t>레벨당 증가폭·최대 레벨·확정 상한과 하한(0) 클램프 규칙을 명시</t>
  </si>
  <si>
    <t>§7 노드 3 (공격주기)</t>
  </si>
  <si>
    <t>레벨당 attackInterval 감소량과 하한(0 이하 방지)이 없음</t>
  </si>
  <si>
    <t>레벨당 감소량과 최소 attackInterval(예: 0.1s)을 명시</t>
  </si>
  <si>
    <t>§7 노드 4 (골드 획득량)</t>
  </si>
  <si>
    <t>레벨당 goldMultPercent 증가량과 최대 레벨/상한이 없음</t>
  </si>
  <si>
    <t>레벨당 증가폭과 상한을 명시</t>
  </si>
  <si>
    <t>§7 노드 6 (크리티컬 배수)</t>
  </si>
  <si>
    <t>critMult를 노드로 올릴지 여부, 올린다면 레벨당 증가량·상한이 미정의(초기 ×2.0 고정 권장만 있음)</t>
  </si>
  <si>
    <t>노드화 여부와 수치(증가량·상한)를 확정</t>
  </si>
  <si>
    <t>§8 웨이브 시간 노드 상한</t>
  </si>
  <si>
    <t>'누적 +5초·노드 3개'는 예시([가정])이며 확정값이 아님</t>
  </si>
  <si>
    <t>누적 시간 상한과 구매 가능 노드 수를 확정 수치로 명시</t>
  </si>
  <si>
    <t>§7 노드 8 (커서 범위)</t>
  </si>
  <si>
    <t>레벨당 cursorRadius 확대량과 최대 레벨/상한이 없음. 밀집도에 따라 실효 DPS가 변동</t>
  </si>
  <si>
    <t>확대량·상한과 밸런싱 기준(마지막에 조정)을 명시</t>
  </si>
  <si>
    <t>§9 노드 비용</t>
  </si>
  <si>
    <t>노드별 기본 비용과 레벨업 비용 증가 곡선이 전부 미정의</t>
  </si>
  <si>
    <t>노드별 비용표 또는 비용 함수(레벨 → 골드)를 정의</t>
  </si>
  <si>
    <t>§10 밸런싱 상수·곡선</t>
  </si>
  <si>
    <t>baseQuota/baseTimeLimit/baseEnemyHp와 enemyHpAt/quotaAt/timeAt 곡선이 모두 임시 예시이며, 피보나치식 곡선도 구상 단계</t>
  </si>
  <si>
    <t>QA 후 확정 상수와 곡선식(웨이브별 Q·적 체력·T)을 명시</t>
  </si>
  <si>
    <t>§1 게임 클리어 처리</t>
  </si>
  <si>
    <t>15(보스) 웨이브를 클리어했을 때의 화면·흐름(엔딩, 반복, 무한 모드 등)이 미정의</t>
  </si>
  <si>
    <t>마지막 웨이브 클리어 후 처리와 데모/본편 웨이브 컷 상수를 정의</t>
  </si>
  <si>
    <t>§1·§2 경계 판정 부등호</t>
  </si>
  <si>
    <t>제한시간 T와 쿼터 마지막 처치가 '동시각'일 때 달성/미달 중 무엇인지, cursorRadius 경계(거리 == radius)가 포함인지 미정의</t>
  </si>
  <si>
    <t>시간 판정과 범위 판정의 부등호(&lt; vs ≤)를 각각 명시</t>
  </si>
  <si>
    <t>§12 '1초 내 순삭' 회귀 기준</t>
  </si>
  <si>
    <t>'강화가 충분히 쌓이면'의 정량 기준(누적 배수/고정합 수준, 몇 웨이브까지)이 없어 재밟기 순삭 회귀 테스트 기준을 잡을 수 없음</t>
  </si>
  <si>
    <t>재밟기 순삭 판정 기준을 수치(예: N웨이브 이하 클리어 ≤ 1s)로 정의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</si>
</sst>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맑은 고딕"/>
      <family val="2"/>
      <scheme val="minor"/>
    </font>
    <font>
      <b/>
      <sz val="12"/>
      <color rgb="FFFFFFFF"/>
      <name val="맑은 고딕"/>
    </font>
    <font>
      <b/>
      <sz val="10"/>
      <name val="맑은 고딕"/>
    </font>
    <font>
      <b/>
      <sz val="10"/>
      <color rgb="FFFFFFFF"/>
      <name val="맑은 고딕"/>
    </font>
    <font>
      <b/>
      <sz val="11"/>
      <color rgb="FFFFFFFF"/>
      <name val="맑은 고딕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76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6"/>
  <sheetViews>
    <sheetView tabSelected="1" zoomScale="85" zoomScaleNormal="85" workbookViewId="0">
      <pane ySplit="9" topLeftCell="A10" activePane="bottomLeft" state="frozen"/>
      <selection pane="bottomLeft" activeCell="K10" sqref="K10"/>
    </sheetView>
  </sheetViews>
  <sheetFormatPr defaultRowHeight="16.5"/>
  <cols>
    <col min="1" max="1" width="8" customWidth="1"/>
    <col min="2" max="2" width="18" customWidth="1"/>
    <col min="3" max="3" width="36" customWidth="1"/>
    <col min="4" max="4" width="9" customWidth="1"/>
    <col min="5" max="6" width="7" customWidth="1"/>
    <col min="7" max="7" width="30" customWidth="1"/>
    <col min="8" max="8" width="40" customWidth="1"/>
    <col min="9" max="9" width="30" customWidth="1"/>
    <col min="10" max="10" width="46" customWidth="1"/>
    <col min="11" max="11" width="12" customWidth="1"/>
    <col min="12" max="12" width="10" customWidth="1"/>
    <col min="13" max="13" width="26" customWidth="1"/>
  </cols>
  <sheetData>
    <row r="1" spans="1:13" ht="21.9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>
      <c r="A2" s="1" t="s">
        <v>1</v>
      </c>
      <c r="B2" s="8" t="s">
        <v>2</v>
      </c>
      <c r="C2" s="9"/>
      <c r="D2" s="9"/>
      <c r="F2" s="1" t="s">
        <v>3</v>
      </c>
      <c r="G2">
        <f>COUNTA(A10:A66)</f>
        <v>57</v>
      </c>
      <c r="H2" s="1" t="s">
        <v>4</v>
      </c>
      <c r="I2" s="2">
        <f>IFERROR(G3/(G3+G4+G5),0)</f>
        <v>0</v>
      </c>
    </row>
    <row r="3" spans="1:13">
      <c r="A3" s="1" t="s">
        <v>5</v>
      </c>
      <c r="B3" s="8" t="s">
        <v>6</v>
      </c>
      <c r="C3" s="9"/>
      <c r="D3" s="9"/>
      <c r="F3" s="1" t="s">
        <v>7</v>
      </c>
      <c r="G3">
        <f>COUNTIF(L10:L66,"Pass")</f>
        <v>0</v>
      </c>
      <c r="H3" s="1" t="s">
        <v>8</v>
      </c>
      <c r="I3">
        <f>G3+G4+G5</f>
        <v>0</v>
      </c>
    </row>
    <row r="4" spans="1:13">
      <c r="A4" s="1" t="s">
        <v>9</v>
      </c>
      <c r="B4" s="8" t="s">
        <v>10</v>
      </c>
      <c r="C4" s="9"/>
      <c r="D4" s="9"/>
      <c r="F4" s="1" t="s">
        <v>11</v>
      </c>
      <c r="G4">
        <f>COUNTIF(L10:L66,"Fail")</f>
        <v>0</v>
      </c>
      <c r="H4" s="1" t="s">
        <v>12</v>
      </c>
      <c r="I4">
        <f>COUNTIF(E10:E66,"정상")</f>
        <v>22</v>
      </c>
    </row>
    <row r="5" spans="1:13">
      <c r="A5" s="1" t="s">
        <v>13</v>
      </c>
      <c r="B5" s="8" t="s">
        <v>14</v>
      </c>
      <c r="C5" s="9"/>
      <c r="D5" s="9"/>
      <c r="F5" s="1" t="s">
        <v>15</v>
      </c>
      <c r="G5">
        <f>COUNTIF(L10:L66,"Blocked")</f>
        <v>0</v>
      </c>
      <c r="H5" s="1" t="s">
        <v>16</v>
      </c>
      <c r="I5">
        <f>COUNTIF(E10:E66,"경계")</f>
        <v>16</v>
      </c>
    </row>
    <row r="6" spans="1:13">
      <c r="A6" s="1" t="s">
        <v>17</v>
      </c>
      <c r="B6" s="8" t="s">
        <v>18</v>
      </c>
      <c r="C6" s="9"/>
      <c r="D6" s="9"/>
      <c r="F6" s="1" t="s">
        <v>19</v>
      </c>
      <c r="G6">
        <f>COUNTIF(L10:L66,"N/A")</f>
        <v>0</v>
      </c>
      <c r="H6" s="1" t="s">
        <v>20</v>
      </c>
      <c r="I6">
        <f>COUNTIF(E10:E66,"예외")</f>
        <v>19</v>
      </c>
    </row>
    <row r="7" spans="1:13">
      <c r="F7" s="1" t="s">
        <v>21</v>
      </c>
      <c r="G7">
        <f>COUNTIF(L10:L66,"Not Run")</f>
        <v>57</v>
      </c>
    </row>
    <row r="9" spans="1:13" ht="27.95" customHeight="1">
      <c r="A9" s="3" t="s">
        <v>22</v>
      </c>
      <c r="B9" s="3" t="s">
        <v>23</v>
      </c>
      <c r="C9" s="3" t="s">
        <v>24</v>
      </c>
      <c r="D9" s="3" t="s">
        <v>25</v>
      </c>
      <c r="E9" s="3" t="s">
        <v>26</v>
      </c>
      <c r="F9" s="3" t="s">
        <v>27</v>
      </c>
      <c r="G9" s="3" t="s">
        <v>28</v>
      </c>
      <c r="H9" s="3" t="s">
        <v>29</v>
      </c>
      <c r="I9" s="3" t="s">
        <v>30</v>
      </c>
      <c r="J9" s="3" t="s">
        <v>31</v>
      </c>
      <c r="K9" s="3" t="s">
        <v>32</v>
      </c>
      <c r="L9" s="3" t="s">
        <v>33</v>
      </c>
      <c r="M9" s="3" t="s">
        <v>34</v>
      </c>
    </row>
    <row r="10" spans="1:13" ht="99">
      <c r="A10" s="4" t="s">
        <v>35</v>
      </c>
      <c r="B10" s="5" t="s">
        <v>36</v>
      </c>
      <c r="C10" s="5" t="s">
        <v>37</v>
      </c>
      <c r="D10" s="4" t="s">
        <v>38</v>
      </c>
      <c r="E10" s="4" t="s">
        <v>12</v>
      </c>
      <c r="F10" s="4" t="s">
        <v>39</v>
      </c>
      <c r="G10" s="5" t="s">
        <v>40</v>
      </c>
      <c r="H10" s="5" t="s">
        <v>41</v>
      </c>
      <c r="I10" s="5" t="s">
        <v>42</v>
      </c>
      <c r="J10" s="5" t="s">
        <v>43</v>
      </c>
      <c r="K10" s="6"/>
      <c r="L10" s="4" t="s">
        <v>21</v>
      </c>
      <c r="M10" s="5"/>
    </row>
    <row r="11" spans="1:13" ht="99">
      <c r="A11" s="4" t="s">
        <v>44</v>
      </c>
      <c r="B11" s="5" t="s">
        <v>36</v>
      </c>
      <c r="C11" s="5" t="s">
        <v>45</v>
      </c>
      <c r="D11" s="4" t="s">
        <v>46</v>
      </c>
      <c r="E11" s="4" t="s">
        <v>16</v>
      </c>
      <c r="F11" s="4" t="s">
        <v>47</v>
      </c>
      <c r="G11" s="5" t="s">
        <v>40</v>
      </c>
      <c r="H11" s="5" t="s">
        <v>48</v>
      </c>
      <c r="I11" s="5" t="s">
        <v>49</v>
      </c>
      <c r="J11" s="5" t="s">
        <v>50</v>
      </c>
      <c r="K11" s="6"/>
      <c r="L11" s="4" t="s">
        <v>21</v>
      </c>
      <c r="M11" s="5" t="s">
        <v>51</v>
      </c>
    </row>
    <row r="12" spans="1:13" ht="99">
      <c r="A12" s="4" t="s">
        <v>52</v>
      </c>
      <c r="B12" s="5" t="s">
        <v>36</v>
      </c>
      <c r="C12" s="5" t="s">
        <v>53</v>
      </c>
      <c r="D12" s="4" t="s">
        <v>46</v>
      </c>
      <c r="E12" s="4" t="s">
        <v>16</v>
      </c>
      <c r="F12" s="4" t="s">
        <v>47</v>
      </c>
      <c r="G12" s="5" t="s">
        <v>40</v>
      </c>
      <c r="H12" s="5" t="s">
        <v>54</v>
      </c>
      <c r="I12" s="5" t="s">
        <v>55</v>
      </c>
      <c r="J12" s="5" t="s">
        <v>56</v>
      </c>
      <c r="K12" s="6"/>
      <c r="L12" s="4" t="s">
        <v>21</v>
      </c>
      <c r="M12" s="5" t="s">
        <v>57</v>
      </c>
    </row>
    <row r="13" spans="1:13" ht="99">
      <c r="A13" s="4" t="s">
        <v>58</v>
      </c>
      <c r="B13" s="5" t="s">
        <v>36</v>
      </c>
      <c r="C13" s="5" t="s">
        <v>59</v>
      </c>
      <c r="D13" s="4" t="s">
        <v>60</v>
      </c>
      <c r="E13" s="4" t="s">
        <v>20</v>
      </c>
      <c r="F13" s="4" t="s">
        <v>47</v>
      </c>
      <c r="G13" s="5" t="s">
        <v>40</v>
      </c>
      <c r="H13" s="5" t="s">
        <v>61</v>
      </c>
      <c r="I13" s="5" t="s">
        <v>62</v>
      </c>
      <c r="J13" s="5" t="s">
        <v>63</v>
      </c>
      <c r="K13" s="6"/>
      <c r="L13" s="4" t="s">
        <v>21</v>
      </c>
      <c r="M13" s="5" t="s">
        <v>64</v>
      </c>
    </row>
    <row r="14" spans="1:13" ht="49.5">
      <c r="A14" s="4" t="s">
        <v>65</v>
      </c>
      <c r="B14" s="5" t="s">
        <v>36</v>
      </c>
      <c r="C14" s="5" t="s">
        <v>66</v>
      </c>
      <c r="D14" s="4" t="s">
        <v>38</v>
      </c>
      <c r="E14" s="4" t="s">
        <v>12</v>
      </c>
      <c r="F14" s="4" t="s">
        <v>39</v>
      </c>
      <c r="G14" s="5" t="s">
        <v>67</v>
      </c>
      <c r="H14" s="5" t="s">
        <v>68</v>
      </c>
      <c r="I14" s="5" t="s">
        <v>69</v>
      </c>
      <c r="J14" s="5" t="s">
        <v>70</v>
      </c>
      <c r="K14" s="6"/>
      <c r="L14" s="4" t="s">
        <v>21</v>
      </c>
      <c r="M14" s="5"/>
    </row>
    <row r="15" spans="1:13" ht="82.5">
      <c r="A15" s="4" t="s">
        <v>71</v>
      </c>
      <c r="B15" s="5" t="s">
        <v>36</v>
      </c>
      <c r="C15" s="5" t="s">
        <v>72</v>
      </c>
      <c r="D15" s="4" t="s">
        <v>60</v>
      </c>
      <c r="E15" s="4" t="s">
        <v>20</v>
      </c>
      <c r="F15" s="4" t="s">
        <v>39</v>
      </c>
      <c r="G15" s="5" t="s">
        <v>73</v>
      </c>
      <c r="H15" s="5" t="s">
        <v>74</v>
      </c>
      <c r="I15" s="5" t="s">
        <v>75</v>
      </c>
      <c r="J15" s="5" t="s">
        <v>76</v>
      </c>
      <c r="K15" s="6"/>
      <c r="L15" s="4" t="s">
        <v>21</v>
      </c>
      <c r="M15" s="5" t="s">
        <v>77</v>
      </c>
    </row>
    <row r="16" spans="1:13" ht="99">
      <c r="A16" s="4" t="s">
        <v>78</v>
      </c>
      <c r="B16" s="5" t="s">
        <v>79</v>
      </c>
      <c r="C16" s="5" t="s">
        <v>80</v>
      </c>
      <c r="D16" s="4" t="s">
        <v>38</v>
      </c>
      <c r="E16" s="4" t="s">
        <v>12</v>
      </c>
      <c r="F16" s="4" t="s">
        <v>81</v>
      </c>
      <c r="G16" s="5" t="s">
        <v>82</v>
      </c>
      <c r="H16" s="5" t="s">
        <v>83</v>
      </c>
      <c r="I16" s="5" t="s">
        <v>84</v>
      </c>
      <c r="J16" s="5" t="s">
        <v>85</v>
      </c>
      <c r="K16" s="6"/>
      <c r="L16" s="4" t="s">
        <v>21</v>
      </c>
      <c r="M16" s="5"/>
    </row>
    <row r="17" spans="1:13" ht="99">
      <c r="A17" s="4" t="s">
        <v>86</v>
      </c>
      <c r="B17" s="5" t="s">
        <v>79</v>
      </c>
      <c r="C17" s="5" t="s">
        <v>87</v>
      </c>
      <c r="D17" s="4" t="s">
        <v>38</v>
      </c>
      <c r="E17" s="4" t="s">
        <v>12</v>
      </c>
      <c r="F17" s="4" t="s">
        <v>81</v>
      </c>
      <c r="G17" s="5" t="s">
        <v>82</v>
      </c>
      <c r="H17" s="5" t="s">
        <v>88</v>
      </c>
      <c r="I17" s="5" t="s">
        <v>89</v>
      </c>
      <c r="J17" s="5" t="s">
        <v>90</v>
      </c>
      <c r="K17" s="6"/>
      <c r="L17" s="4" t="s">
        <v>21</v>
      </c>
      <c r="M17" s="5"/>
    </row>
    <row r="18" spans="1:13" ht="82.5">
      <c r="A18" s="4" t="s">
        <v>91</v>
      </c>
      <c r="B18" s="5" t="s">
        <v>79</v>
      </c>
      <c r="C18" s="5" t="s">
        <v>92</v>
      </c>
      <c r="D18" s="4" t="s">
        <v>46</v>
      </c>
      <c r="E18" s="4" t="s">
        <v>16</v>
      </c>
      <c r="F18" s="4" t="s">
        <v>47</v>
      </c>
      <c r="G18" s="5" t="s">
        <v>93</v>
      </c>
      <c r="H18" s="5" t="s">
        <v>94</v>
      </c>
      <c r="I18" s="5" t="s">
        <v>95</v>
      </c>
      <c r="J18" s="5" t="s">
        <v>96</v>
      </c>
      <c r="K18" s="6"/>
      <c r="L18" s="4" t="s">
        <v>21</v>
      </c>
      <c r="M18" s="5" t="s">
        <v>97</v>
      </c>
    </row>
    <row r="19" spans="1:13" ht="99">
      <c r="A19" s="4" t="s">
        <v>98</v>
      </c>
      <c r="B19" s="5" t="s">
        <v>79</v>
      </c>
      <c r="C19" s="5" t="s">
        <v>99</v>
      </c>
      <c r="D19" s="4" t="s">
        <v>60</v>
      </c>
      <c r="E19" s="4" t="s">
        <v>20</v>
      </c>
      <c r="F19" s="4" t="s">
        <v>81</v>
      </c>
      <c r="G19" s="5" t="s">
        <v>100</v>
      </c>
      <c r="H19" s="5" t="s">
        <v>101</v>
      </c>
      <c r="I19" s="5" t="s">
        <v>102</v>
      </c>
      <c r="J19" s="5" t="s">
        <v>103</v>
      </c>
      <c r="K19" s="6"/>
      <c r="L19" s="4" t="s">
        <v>21</v>
      </c>
      <c r="M19" s="5"/>
    </row>
    <row r="20" spans="1:13" ht="82.5">
      <c r="A20" s="4" t="s">
        <v>104</v>
      </c>
      <c r="B20" s="5" t="s">
        <v>79</v>
      </c>
      <c r="C20" s="5" t="s">
        <v>105</v>
      </c>
      <c r="D20" s="4" t="s">
        <v>60</v>
      </c>
      <c r="E20" s="4" t="s">
        <v>20</v>
      </c>
      <c r="F20" s="4" t="s">
        <v>81</v>
      </c>
      <c r="G20" s="5" t="s">
        <v>93</v>
      </c>
      <c r="H20" s="5" t="s">
        <v>106</v>
      </c>
      <c r="I20" s="5" t="s">
        <v>107</v>
      </c>
      <c r="J20" s="5" t="s">
        <v>108</v>
      </c>
      <c r="K20" s="6"/>
      <c r="L20" s="4" t="s">
        <v>21</v>
      </c>
      <c r="M20" s="5"/>
    </row>
    <row r="21" spans="1:13" ht="99">
      <c r="A21" s="4" t="s">
        <v>109</v>
      </c>
      <c r="B21" s="5" t="s">
        <v>79</v>
      </c>
      <c r="C21" s="5" t="s">
        <v>110</v>
      </c>
      <c r="D21" s="4" t="s">
        <v>38</v>
      </c>
      <c r="E21" s="4" t="s">
        <v>12</v>
      </c>
      <c r="F21" s="4" t="s">
        <v>81</v>
      </c>
      <c r="G21" s="5" t="s">
        <v>111</v>
      </c>
      <c r="H21" s="5" t="s">
        <v>112</v>
      </c>
      <c r="I21" s="5" t="s">
        <v>113</v>
      </c>
      <c r="J21" s="5" t="s">
        <v>114</v>
      </c>
      <c r="K21" s="6"/>
      <c r="L21" s="4" t="s">
        <v>21</v>
      </c>
      <c r="M21" s="5"/>
    </row>
    <row r="22" spans="1:13" ht="99">
      <c r="A22" s="4" t="s">
        <v>115</v>
      </c>
      <c r="B22" s="5" t="s">
        <v>116</v>
      </c>
      <c r="C22" s="5" t="s">
        <v>117</v>
      </c>
      <c r="D22" s="4" t="s">
        <v>38</v>
      </c>
      <c r="E22" s="4" t="s">
        <v>12</v>
      </c>
      <c r="F22" s="4" t="s">
        <v>81</v>
      </c>
      <c r="G22" s="5" t="s">
        <v>118</v>
      </c>
      <c r="H22" s="5" t="s">
        <v>119</v>
      </c>
      <c r="I22" s="5" t="s">
        <v>120</v>
      </c>
      <c r="J22" s="5" t="s">
        <v>121</v>
      </c>
      <c r="K22" s="6"/>
      <c r="L22" s="4" t="s">
        <v>21</v>
      </c>
      <c r="M22" s="5"/>
    </row>
    <row r="23" spans="1:13" ht="99">
      <c r="A23" s="4" t="s">
        <v>122</v>
      </c>
      <c r="B23" s="5" t="s">
        <v>116</v>
      </c>
      <c r="C23" s="5" t="s">
        <v>123</v>
      </c>
      <c r="D23" s="4" t="s">
        <v>46</v>
      </c>
      <c r="E23" s="4" t="s">
        <v>16</v>
      </c>
      <c r="F23" s="4" t="s">
        <v>47</v>
      </c>
      <c r="G23" s="5" t="s">
        <v>124</v>
      </c>
      <c r="H23" s="5" t="s">
        <v>125</v>
      </c>
      <c r="I23" s="5" t="s">
        <v>126</v>
      </c>
      <c r="J23" s="5" t="s">
        <v>127</v>
      </c>
      <c r="K23" s="6"/>
      <c r="L23" s="4" t="s">
        <v>21</v>
      </c>
      <c r="M23" s="5" t="s">
        <v>128</v>
      </c>
    </row>
    <row r="24" spans="1:13" ht="99">
      <c r="A24" s="4" t="s">
        <v>129</v>
      </c>
      <c r="B24" s="5" t="s">
        <v>116</v>
      </c>
      <c r="C24" s="5" t="s">
        <v>130</v>
      </c>
      <c r="D24" s="4" t="s">
        <v>60</v>
      </c>
      <c r="E24" s="4" t="s">
        <v>20</v>
      </c>
      <c r="F24" s="4" t="s">
        <v>81</v>
      </c>
      <c r="G24" s="5" t="s">
        <v>40</v>
      </c>
      <c r="H24" s="5" t="s">
        <v>131</v>
      </c>
      <c r="I24" s="5" t="s">
        <v>132</v>
      </c>
      <c r="J24" s="5" t="s">
        <v>133</v>
      </c>
      <c r="K24" s="6"/>
      <c r="L24" s="4" t="s">
        <v>21</v>
      </c>
      <c r="M24" s="5"/>
    </row>
    <row r="25" spans="1:13" ht="82.5">
      <c r="A25" s="4" t="s">
        <v>134</v>
      </c>
      <c r="B25" s="5" t="s">
        <v>135</v>
      </c>
      <c r="C25" s="5" t="s">
        <v>136</v>
      </c>
      <c r="D25" s="4" t="s">
        <v>38</v>
      </c>
      <c r="E25" s="4" t="s">
        <v>12</v>
      </c>
      <c r="F25" s="4" t="s">
        <v>81</v>
      </c>
      <c r="G25" s="5" t="s">
        <v>93</v>
      </c>
      <c r="H25" s="5" t="s">
        <v>137</v>
      </c>
      <c r="I25" s="5" t="s">
        <v>138</v>
      </c>
      <c r="J25" s="5" t="s">
        <v>139</v>
      </c>
      <c r="K25" s="6"/>
      <c r="L25" s="4" t="s">
        <v>21</v>
      </c>
      <c r="M25" s="5"/>
    </row>
    <row r="26" spans="1:13" ht="82.5">
      <c r="A26" s="4" t="s">
        <v>140</v>
      </c>
      <c r="B26" s="5" t="s">
        <v>135</v>
      </c>
      <c r="C26" s="5" t="s">
        <v>141</v>
      </c>
      <c r="D26" s="4" t="s">
        <v>38</v>
      </c>
      <c r="E26" s="4" t="s">
        <v>12</v>
      </c>
      <c r="F26" s="4" t="s">
        <v>81</v>
      </c>
      <c r="G26" s="5" t="s">
        <v>93</v>
      </c>
      <c r="H26" s="5" t="s">
        <v>142</v>
      </c>
      <c r="I26" s="5" t="s">
        <v>143</v>
      </c>
      <c r="J26" s="5" t="s">
        <v>144</v>
      </c>
      <c r="K26" s="6"/>
      <c r="L26" s="4" t="s">
        <v>21</v>
      </c>
      <c r="M26" s="5"/>
    </row>
    <row r="27" spans="1:13" ht="82.5">
      <c r="A27" s="4" t="s">
        <v>145</v>
      </c>
      <c r="B27" s="5" t="s">
        <v>135</v>
      </c>
      <c r="C27" s="5" t="s">
        <v>146</v>
      </c>
      <c r="D27" s="4" t="s">
        <v>38</v>
      </c>
      <c r="E27" s="4" t="s">
        <v>12</v>
      </c>
      <c r="F27" s="4" t="s">
        <v>147</v>
      </c>
      <c r="G27" s="5" t="s">
        <v>93</v>
      </c>
      <c r="H27" s="5" t="s">
        <v>148</v>
      </c>
      <c r="I27" s="5" t="s">
        <v>149</v>
      </c>
      <c r="J27" s="5" t="s">
        <v>150</v>
      </c>
      <c r="K27" s="6"/>
      <c r="L27" s="4" t="s">
        <v>21</v>
      </c>
      <c r="M27" s="5"/>
    </row>
    <row r="28" spans="1:13" ht="82.5">
      <c r="A28" s="4" t="s">
        <v>151</v>
      </c>
      <c r="B28" s="5" t="s">
        <v>135</v>
      </c>
      <c r="C28" s="5" t="s">
        <v>152</v>
      </c>
      <c r="D28" s="4" t="s">
        <v>46</v>
      </c>
      <c r="E28" s="4" t="s">
        <v>16</v>
      </c>
      <c r="F28" s="4" t="s">
        <v>47</v>
      </c>
      <c r="G28" s="5" t="s">
        <v>93</v>
      </c>
      <c r="H28" s="5" t="s">
        <v>153</v>
      </c>
      <c r="I28" s="5" t="s">
        <v>154</v>
      </c>
      <c r="J28" s="5" t="s">
        <v>155</v>
      </c>
      <c r="K28" s="6"/>
      <c r="L28" s="4" t="s">
        <v>21</v>
      </c>
      <c r="M28" s="5" t="s">
        <v>156</v>
      </c>
    </row>
    <row r="29" spans="1:13" ht="99">
      <c r="A29" s="4" t="s">
        <v>157</v>
      </c>
      <c r="B29" s="5" t="s">
        <v>135</v>
      </c>
      <c r="C29" s="5" t="s">
        <v>158</v>
      </c>
      <c r="D29" s="4" t="s">
        <v>60</v>
      </c>
      <c r="E29" s="4" t="s">
        <v>20</v>
      </c>
      <c r="F29" s="4" t="s">
        <v>81</v>
      </c>
      <c r="G29" s="5" t="s">
        <v>159</v>
      </c>
      <c r="H29" s="5" t="s">
        <v>160</v>
      </c>
      <c r="I29" s="5" t="s">
        <v>161</v>
      </c>
      <c r="J29" s="5" t="s">
        <v>162</v>
      </c>
      <c r="K29" s="6"/>
      <c r="L29" s="4" t="s">
        <v>21</v>
      </c>
      <c r="M29" s="5"/>
    </row>
    <row r="30" spans="1:13" ht="82.5">
      <c r="A30" s="4" t="s">
        <v>163</v>
      </c>
      <c r="B30" s="5" t="s">
        <v>164</v>
      </c>
      <c r="C30" s="5" t="s">
        <v>165</v>
      </c>
      <c r="D30" s="4" t="s">
        <v>38</v>
      </c>
      <c r="E30" s="4" t="s">
        <v>12</v>
      </c>
      <c r="F30" s="4" t="s">
        <v>147</v>
      </c>
      <c r="G30" s="5" t="s">
        <v>93</v>
      </c>
      <c r="H30" s="5" t="s">
        <v>166</v>
      </c>
      <c r="I30" s="5" t="s">
        <v>167</v>
      </c>
      <c r="J30" s="5" t="s">
        <v>168</v>
      </c>
      <c r="K30" s="6"/>
      <c r="L30" s="4" t="s">
        <v>21</v>
      </c>
      <c r="M30" s="5" t="s">
        <v>169</v>
      </c>
    </row>
    <row r="31" spans="1:13" ht="99">
      <c r="A31" s="4" t="s">
        <v>170</v>
      </c>
      <c r="B31" s="5" t="s">
        <v>164</v>
      </c>
      <c r="C31" s="5" t="s">
        <v>171</v>
      </c>
      <c r="D31" s="4" t="s">
        <v>46</v>
      </c>
      <c r="E31" s="4" t="s">
        <v>16</v>
      </c>
      <c r="F31" s="4" t="s">
        <v>47</v>
      </c>
      <c r="G31" s="5" t="s">
        <v>172</v>
      </c>
      <c r="H31" s="5" t="s">
        <v>173</v>
      </c>
      <c r="I31" s="5" t="s">
        <v>174</v>
      </c>
      <c r="J31" s="5" t="s">
        <v>175</v>
      </c>
      <c r="K31" s="6"/>
      <c r="L31" s="4" t="s">
        <v>21</v>
      </c>
      <c r="M31" s="5" t="s">
        <v>176</v>
      </c>
    </row>
    <row r="32" spans="1:13" ht="99">
      <c r="A32" s="4" t="s">
        <v>177</v>
      </c>
      <c r="B32" s="5" t="s">
        <v>164</v>
      </c>
      <c r="C32" s="5" t="s">
        <v>178</v>
      </c>
      <c r="D32" s="4" t="s">
        <v>46</v>
      </c>
      <c r="E32" s="4" t="s">
        <v>16</v>
      </c>
      <c r="F32" s="4" t="s">
        <v>47</v>
      </c>
      <c r="G32" s="5" t="s">
        <v>179</v>
      </c>
      <c r="H32" s="5" t="s">
        <v>173</v>
      </c>
      <c r="I32" s="5" t="s">
        <v>180</v>
      </c>
      <c r="J32" s="5" t="s">
        <v>181</v>
      </c>
      <c r="K32" s="6"/>
      <c r="L32" s="4" t="s">
        <v>21</v>
      </c>
      <c r="M32" s="5" t="s">
        <v>182</v>
      </c>
    </row>
    <row r="33" spans="1:13" ht="99">
      <c r="A33" s="4" t="s">
        <v>183</v>
      </c>
      <c r="B33" s="5" t="s">
        <v>164</v>
      </c>
      <c r="C33" s="5" t="s">
        <v>184</v>
      </c>
      <c r="D33" s="4" t="s">
        <v>60</v>
      </c>
      <c r="E33" s="4" t="s">
        <v>20</v>
      </c>
      <c r="F33" s="4" t="s">
        <v>47</v>
      </c>
      <c r="G33" s="5" t="s">
        <v>185</v>
      </c>
      <c r="H33" s="5" t="s">
        <v>186</v>
      </c>
      <c r="I33" s="5" t="s">
        <v>187</v>
      </c>
      <c r="J33" s="5" t="s">
        <v>188</v>
      </c>
      <c r="K33" s="6"/>
      <c r="L33" s="4" t="s">
        <v>21</v>
      </c>
      <c r="M33" s="5" t="s">
        <v>189</v>
      </c>
    </row>
    <row r="34" spans="1:13" ht="99">
      <c r="A34" s="4" t="s">
        <v>190</v>
      </c>
      <c r="B34" s="5" t="s">
        <v>164</v>
      </c>
      <c r="C34" s="5" t="s">
        <v>191</v>
      </c>
      <c r="D34" s="4" t="s">
        <v>60</v>
      </c>
      <c r="E34" s="4" t="s">
        <v>20</v>
      </c>
      <c r="F34" s="4" t="s">
        <v>47</v>
      </c>
      <c r="G34" s="5" t="s">
        <v>192</v>
      </c>
      <c r="H34" s="5" t="s">
        <v>193</v>
      </c>
      <c r="I34" s="5" t="s">
        <v>194</v>
      </c>
      <c r="J34" s="5" t="s">
        <v>195</v>
      </c>
      <c r="K34" s="6"/>
      <c r="L34" s="4" t="s">
        <v>21</v>
      </c>
      <c r="M34" s="5" t="s">
        <v>196</v>
      </c>
    </row>
    <row r="35" spans="1:13" ht="82.5">
      <c r="A35" s="4" t="s">
        <v>197</v>
      </c>
      <c r="B35" s="5" t="s">
        <v>198</v>
      </c>
      <c r="C35" s="5" t="s">
        <v>199</v>
      </c>
      <c r="D35" s="4" t="s">
        <v>38</v>
      </c>
      <c r="E35" s="4" t="s">
        <v>12</v>
      </c>
      <c r="F35" s="4" t="s">
        <v>81</v>
      </c>
      <c r="G35" s="5" t="s">
        <v>200</v>
      </c>
      <c r="H35" s="5" t="s">
        <v>201</v>
      </c>
      <c r="I35" s="5" t="s">
        <v>202</v>
      </c>
      <c r="J35" s="5" t="s">
        <v>203</v>
      </c>
      <c r="K35" s="6"/>
      <c r="L35" s="4" t="s">
        <v>21</v>
      </c>
      <c r="M35" s="5"/>
    </row>
    <row r="36" spans="1:13" ht="99">
      <c r="A36" s="4" t="s">
        <v>204</v>
      </c>
      <c r="B36" s="5" t="s">
        <v>198</v>
      </c>
      <c r="C36" s="5" t="s">
        <v>205</v>
      </c>
      <c r="D36" s="4" t="s">
        <v>38</v>
      </c>
      <c r="E36" s="4" t="s">
        <v>12</v>
      </c>
      <c r="F36" s="4" t="s">
        <v>81</v>
      </c>
      <c r="G36" s="5" t="s">
        <v>206</v>
      </c>
      <c r="H36" s="5" t="s">
        <v>207</v>
      </c>
      <c r="I36" s="5" t="s">
        <v>208</v>
      </c>
      <c r="J36" s="5" t="s">
        <v>209</v>
      </c>
      <c r="K36" s="6"/>
      <c r="L36" s="4" t="s">
        <v>21</v>
      </c>
      <c r="M36" s="5"/>
    </row>
    <row r="37" spans="1:13" ht="82.5">
      <c r="A37" s="4" t="s">
        <v>210</v>
      </c>
      <c r="B37" s="5" t="s">
        <v>198</v>
      </c>
      <c r="C37" s="5" t="s">
        <v>211</v>
      </c>
      <c r="D37" s="4" t="s">
        <v>46</v>
      </c>
      <c r="E37" s="4" t="s">
        <v>16</v>
      </c>
      <c r="F37" s="4" t="s">
        <v>47</v>
      </c>
      <c r="G37" s="5" t="s">
        <v>212</v>
      </c>
      <c r="H37" s="5" t="s">
        <v>213</v>
      </c>
      <c r="I37" s="5" t="s">
        <v>214</v>
      </c>
      <c r="J37" s="5" t="s">
        <v>215</v>
      </c>
      <c r="K37" s="6"/>
      <c r="L37" s="4" t="s">
        <v>21</v>
      </c>
      <c r="M37" s="5" t="s">
        <v>216</v>
      </c>
    </row>
    <row r="38" spans="1:13" ht="82.5">
      <c r="A38" s="4" t="s">
        <v>217</v>
      </c>
      <c r="B38" s="5" t="s">
        <v>198</v>
      </c>
      <c r="C38" s="5" t="s">
        <v>218</v>
      </c>
      <c r="D38" s="4" t="s">
        <v>46</v>
      </c>
      <c r="E38" s="4" t="s">
        <v>16</v>
      </c>
      <c r="F38" s="4" t="s">
        <v>47</v>
      </c>
      <c r="G38" s="5" t="s">
        <v>93</v>
      </c>
      <c r="H38" s="5" t="s">
        <v>219</v>
      </c>
      <c r="I38" s="5" t="s">
        <v>220</v>
      </c>
      <c r="J38" s="5" t="s">
        <v>221</v>
      </c>
      <c r="K38" s="6"/>
      <c r="L38" s="4" t="s">
        <v>21</v>
      </c>
      <c r="M38" s="5" t="s">
        <v>222</v>
      </c>
    </row>
    <row r="39" spans="1:13" ht="82.5">
      <c r="A39" s="4" t="s">
        <v>223</v>
      </c>
      <c r="B39" s="5" t="s">
        <v>198</v>
      </c>
      <c r="C39" s="5" t="s">
        <v>224</v>
      </c>
      <c r="D39" s="4" t="s">
        <v>60</v>
      </c>
      <c r="E39" s="4" t="s">
        <v>20</v>
      </c>
      <c r="F39" s="4" t="s">
        <v>47</v>
      </c>
      <c r="G39" s="5" t="s">
        <v>225</v>
      </c>
      <c r="H39" s="5" t="s">
        <v>226</v>
      </c>
      <c r="I39" s="5" t="s">
        <v>227</v>
      </c>
      <c r="J39" s="5" t="s">
        <v>228</v>
      </c>
      <c r="K39" s="6"/>
      <c r="L39" s="4" t="s">
        <v>21</v>
      </c>
      <c r="M39" s="5" t="s">
        <v>189</v>
      </c>
    </row>
    <row r="40" spans="1:13" ht="49.5">
      <c r="A40" s="4" t="s">
        <v>229</v>
      </c>
      <c r="B40" s="5" t="s">
        <v>198</v>
      </c>
      <c r="C40" s="5" t="s">
        <v>230</v>
      </c>
      <c r="D40" s="4" t="s">
        <v>38</v>
      </c>
      <c r="E40" s="4" t="s">
        <v>12</v>
      </c>
      <c r="F40" s="4" t="s">
        <v>147</v>
      </c>
      <c r="G40" s="5" t="s">
        <v>231</v>
      </c>
      <c r="H40" s="5" t="s">
        <v>232</v>
      </c>
      <c r="I40" s="5" t="s">
        <v>233</v>
      </c>
      <c r="J40" s="5" t="s">
        <v>234</v>
      </c>
      <c r="K40" s="6"/>
      <c r="L40" s="4" t="s">
        <v>21</v>
      </c>
      <c r="M40" s="5"/>
    </row>
    <row r="41" spans="1:13" ht="82.5">
      <c r="A41" s="4" t="s">
        <v>235</v>
      </c>
      <c r="B41" s="5" t="s">
        <v>236</v>
      </c>
      <c r="C41" s="5" t="s">
        <v>237</v>
      </c>
      <c r="D41" s="4" t="s">
        <v>38</v>
      </c>
      <c r="E41" s="4" t="s">
        <v>12</v>
      </c>
      <c r="F41" s="4" t="s">
        <v>81</v>
      </c>
      <c r="G41" s="5" t="s">
        <v>238</v>
      </c>
      <c r="H41" s="5" t="s">
        <v>239</v>
      </c>
      <c r="I41" s="5" t="s">
        <v>240</v>
      </c>
      <c r="J41" s="5" t="s">
        <v>241</v>
      </c>
      <c r="K41" s="6"/>
      <c r="L41" s="4" t="s">
        <v>21</v>
      </c>
      <c r="M41" s="5"/>
    </row>
    <row r="42" spans="1:13" ht="99">
      <c r="A42" s="4" t="s">
        <v>242</v>
      </c>
      <c r="B42" s="5" t="s">
        <v>236</v>
      </c>
      <c r="C42" s="5" t="s">
        <v>243</v>
      </c>
      <c r="D42" s="4" t="s">
        <v>38</v>
      </c>
      <c r="E42" s="4" t="s">
        <v>12</v>
      </c>
      <c r="F42" s="4" t="s">
        <v>81</v>
      </c>
      <c r="G42" s="5" t="s">
        <v>244</v>
      </c>
      <c r="H42" s="5" t="s">
        <v>245</v>
      </c>
      <c r="I42" s="5" t="s">
        <v>246</v>
      </c>
      <c r="J42" s="5" t="s">
        <v>247</v>
      </c>
      <c r="K42" s="6"/>
      <c r="L42" s="4" t="s">
        <v>21</v>
      </c>
      <c r="M42" s="5" t="s">
        <v>248</v>
      </c>
    </row>
    <row r="43" spans="1:13" ht="99">
      <c r="A43" s="4" t="s">
        <v>249</v>
      </c>
      <c r="B43" s="5" t="s">
        <v>236</v>
      </c>
      <c r="C43" s="5" t="s">
        <v>250</v>
      </c>
      <c r="D43" s="4" t="s">
        <v>60</v>
      </c>
      <c r="E43" s="4" t="s">
        <v>20</v>
      </c>
      <c r="F43" s="4" t="s">
        <v>47</v>
      </c>
      <c r="G43" s="5" t="s">
        <v>251</v>
      </c>
      <c r="H43" s="5" t="s">
        <v>252</v>
      </c>
      <c r="I43" s="5" t="s">
        <v>253</v>
      </c>
      <c r="J43" s="5" t="s">
        <v>254</v>
      </c>
      <c r="K43" s="6"/>
      <c r="L43" s="4" t="s">
        <v>21</v>
      </c>
      <c r="M43" s="5" t="s">
        <v>255</v>
      </c>
    </row>
    <row r="44" spans="1:13" ht="99">
      <c r="A44" s="4" t="s">
        <v>256</v>
      </c>
      <c r="B44" s="5" t="s">
        <v>236</v>
      </c>
      <c r="C44" s="5" t="s">
        <v>257</v>
      </c>
      <c r="D44" s="4" t="s">
        <v>46</v>
      </c>
      <c r="E44" s="4" t="s">
        <v>16</v>
      </c>
      <c r="F44" s="4" t="s">
        <v>47</v>
      </c>
      <c r="G44" s="5" t="s">
        <v>118</v>
      </c>
      <c r="H44" s="5" t="s">
        <v>258</v>
      </c>
      <c r="I44" s="5" t="s">
        <v>259</v>
      </c>
      <c r="J44" s="5" t="s">
        <v>260</v>
      </c>
      <c r="K44" s="6"/>
      <c r="L44" s="4" t="s">
        <v>21</v>
      </c>
      <c r="M44" s="5" t="s">
        <v>261</v>
      </c>
    </row>
    <row r="45" spans="1:13" ht="99">
      <c r="A45" s="4" t="s">
        <v>262</v>
      </c>
      <c r="B45" s="5" t="s">
        <v>263</v>
      </c>
      <c r="C45" s="5" t="s">
        <v>264</v>
      </c>
      <c r="D45" s="4" t="s">
        <v>38</v>
      </c>
      <c r="E45" s="4" t="s">
        <v>12</v>
      </c>
      <c r="F45" s="4" t="s">
        <v>81</v>
      </c>
      <c r="G45" s="5" t="s">
        <v>265</v>
      </c>
      <c r="H45" s="5" t="s">
        <v>266</v>
      </c>
      <c r="I45" s="5" t="s">
        <v>267</v>
      </c>
      <c r="J45" s="5" t="s">
        <v>268</v>
      </c>
      <c r="K45" s="6"/>
      <c r="L45" s="4" t="s">
        <v>21</v>
      </c>
      <c r="M45" s="5"/>
    </row>
    <row r="46" spans="1:13" ht="99">
      <c r="A46" s="4" t="s">
        <v>269</v>
      </c>
      <c r="B46" s="5" t="s">
        <v>263</v>
      </c>
      <c r="C46" s="5" t="s">
        <v>270</v>
      </c>
      <c r="D46" s="4" t="s">
        <v>46</v>
      </c>
      <c r="E46" s="4" t="s">
        <v>16</v>
      </c>
      <c r="F46" s="4" t="s">
        <v>47</v>
      </c>
      <c r="G46" s="5" t="s">
        <v>271</v>
      </c>
      <c r="H46" s="5" t="s">
        <v>272</v>
      </c>
      <c r="I46" s="5" t="s">
        <v>273</v>
      </c>
      <c r="J46" s="5" t="s">
        <v>274</v>
      </c>
      <c r="K46" s="6"/>
      <c r="L46" s="4" t="s">
        <v>21</v>
      </c>
      <c r="M46" s="5" t="s">
        <v>275</v>
      </c>
    </row>
    <row r="47" spans="1:13" ht="99">
      <c r="A47" s="4" t="s">
        <v>276</v>
      </c>
      <c r="B47" s="5" t="s">
        <v>263</v>
      </c>
      <c r="C47" s="5" t="s">
        <v>277</v>
      </c>
      <c r="D47" s="4" t="s">
        <v>60</v>
      </c>
      <c r="E47" s="4" t="s">
        <v>20</v>
      </c>
      <c r="F47" s="4" t="s">
        <v>47</v>
      </c>
      <c r="G47" s="5" t="s">
        <v>278</v>
      </c>
      <c r="H47" s="5" t="s">
        <v>279</v>
      </c>
      <c r="I47" s="5" t="s">
        <v>280</v>
      </c>
      <c r="J47" s="5" t="s">
        <v>281</v>
      </c>
      <c r="K47" s="6"/>
      <c r="L47" s="4" t="s">
        <v>21</v>
      </c>
      <c r="M47" s="5" t="s">
        <v>282</v>
      </c>
    </row>
    <row r="48" spans="1:13" ht="99">
      <c r="A48" s="4" t="s">
        <v>283</v>
      </c>
      <c r="B48" s="5" t="s">
        <v>284</v>
      </c>
      <c r="C48" s="5" t="s">
        <v>285</v>
      </c>
      <c r="D48" s="4" t="s">
        <v>38</v>
      </c>
      <c r="E48" s="4" t="s">
        <v>12</v>
      </c>
      <c r="F48" s="4" t="s">
        <v>81</v>
      </c>
      <c r="G48" s="5" t="s">
        <v>286</v>
      </c>
      <c r="H48" s="5" t="s">
        <v>287</v>
      </c>
      <c r="I48" s="5" t="s">
        <v>288</v>
      </c>
      <c r="J48" s="5" t="s">
        <v>289</v>
      </c>
      <c r="K48" s="6"/>
      <c r="L48" s="4" t="s">
        <v>21</v>
      </c>
      <c r="M48" s="5"/>
    </row>
    <row r="49" spans="1:13" ht="82.5">
      <c r="A49" s="4" t="s">
        <v>290</v>
      </c>
      <c r="B49" s="5" t="s">
        <v>284</v>
      </c>
      <c r="C49" s="5" t="s">
        <v>291</v>
      </c>
      <c r="D49" s="4" t="s">
        <v>46</v>
      </c>
      <c r="E49" s="4" t="s">
        <v>16</v>
      </c>
      <c r="F49" s="4" t="s">
        <v>47</v>
      </c>
      <c r="G49" s="5" t="s">
        <v>292</v>
      </c>
      <c r="H49" s="5" t="s">
        <v>293</v>
      </c>
      <c r="I49" s="5" t="s">
        <v>294</v>
      </c>
      <c r="J49" s="5" t="s">
        <v>295</v>
      </c>
      <c r="K49" s="6"/>
      <c r="L49" s="4" t="s">
        <v>21</v>
      </c>
      <c r="M49" s="5" t="s">
        <v>296</v>
      </c>
    </row>
    <row r="50" spans="1:13" ht="82.5">
      <c r="A50" s="4" t="s">
        <v>297</v>
      </c>
      <c r="B50" s="5" t="s">
        <v>284</v>
      </c>
      <c r="C50" s="5" t="s">
        <v>298</v>
      </c>
      <c r="D50" s="4" t="s">
        <v>60</v>
      </c>
      <c r="E50" s="4" t="s">
        <v>20</v>
      </c>
      <c r="F50" s="4" t="s">
        <v>81</v>
      </c>
      <c r="G50" s="5" t="s">
        <v>93</v>
      </c>
      <c r="H50" s="5" t="s">
        <v>299</v>
      </c>
      <c r="I50" s="5" t="s">
        <v>300</v>
      </c>
      <c r="J50" s="5" t="s">
        <v>301</v>
      </c>
      <c r="K50" s="6"/>
      <c r="L50" s="4" t="s">
        <v>21</v>
      </c>
      <c r="M50" s="5" t="s">
        <v>302</v>
      </c>
    </row>
    <row r="51" spans="1:13" ht="33">
      <c r="A51" s="4" t="s">
        <v>303</v>
      </c>
      <c r="B51" s="5" t="s">
        <v>304</v>
      </c>
      <c r="C51" s="5" t="s">
        <v>305</v>
      </c>
      <c r="D51" s="4" t="s">
        <v>38</v>
      </c>
      <c r="E51" s="4" t="s">
        <v>12</v>
      </c>
      <c r="F51" s="4" t="s">
        <v>81</v>
      </c>
      <c r="G51" s="5" t="s">
        <v>306</v>
      </c>
      <c r="H51" s="5" t="s">
        <v>307</v>
      </c>
      <c r="I51" s="5" t="s">
        <v>308</v>
      </c>
      <c r="J51" s="5" t="s">
        <v>309</v>
      </c>
      <c r="K51" s="6"/>
      <c r="L51" s="4" t="s">
        <v>21</v>
      </c>
      <c r="M51" s="5"/>
    </row>
    <row r="52" spans="1:13" ht="33">
      <c r="A52" s="4" t="s">
        <v>310</v>
      </c>
      <c r="B52" s="5" t="s">
        <v>304</v>
      </c>
      <c r="C52" s="5" t="s">
        <v>311</v>
      </c>
      <c r="D52" s="4" t="s">
        <v>60</v>
      </c>
      <c r="E52" s="4" t="s">
        <v>20</v>
      </c>
      <c r="F52" s="4" t="s">
        <v>81</v>
      </c>
      <c r="G52" s="5" t="s">
        <v>312</v>
      </c>
      <c r="H52" s="5" t="s">
        <v>313</v>
      </c>
      <c r="I52" s="5" t="s">
        <v>314</v>
      </c>
      <c r="J52" s="5" t="s">
        <v>315</v>
      </c>
      <c r="K52" s="6"/>
      <c r="L52" s="4" t="s">
        <v>21</v>
      </c>
      <c r="M52" s="5"/>
    </row>
    <row r="53" spans="1:13" ht="33">
      <c r="A53" s="4" t="s">
        <v>316</v>
      </c>
      <c r="B53" s="5" t="s">
        <v>304</v>
      </c>
      <c r="C53" s="5" t="s">
        <v>317</v>
      </c>
      <c r="D53" s="4" t="s">
        <v>46</v>
      </c>
      <c r="E53" s="4" t="s">
        <v>16</v>
      </c>
      <c r="F53" s="4" t="s">
        <v>47</v>
      </c>
      <c r="G53" s="5" t="s">
        <v>318</v>
      </c>
      <c r="H53" s="5" t="s">
        <v>307</v>
      </c>
      <c r="I53" s="5" t="s">
        <v>319</v>
      </c>
      <c r="J53" s="5" t="s">
        <v>320</v>
      </c>
      <c r="K53" s="6"/>
      <c r="L53" s="4" t="s">
        <v>21</v>
      </c>
      <c r="M53" s="5" t="s">
        <v>321</v>
      </c>
    </row>
    <row r="54" spans="1:13">
      <c r="A54" s="4" t="s">
        <v>322</v>
      </c>
      <c r="B54" s="5" t="s">
        <v>304</v>
      </c>
      <c r="C54" s="5" t="s">
        <v>323</v>
      </c>
      <c r="D54" s="4" t="s">
        <v>60</v>
      </c>
      <c r="E54" s="4" t="s">
        <v>20</v>
      </c>
      <c r="F54" s="4" t="s">
        <v>81</v>
      </c>
      <c r="G54" s="5" t="s">
        <v>324</v>
      </c>
      <c r="H54" s="5" t="s">
        <v>325</v>
      </c>
      <c r="I54" s="5" t="s">
        <v>194</v>
      </c>
      <c r="J54" s="5" t="s">
        <v>326</v>
      </c>
      <c r="K54" s="6"/>
      <c r="L54" s="4" t="s">
        <v>21</v>
      </c>
      <c r="M54" s="5"/>
    </row>
    <row r="55" spans="1:13" ht="99">
      <c r="A55" s="4" t="s">
        <v>327</v>
      </c>
      <c r="B55" s="5" t="s">
        <v>328</v>
      </c>
      <c r="C55" s="5" t="s">
        <v>329</v>
      </c>
      <c r="D55" s="4" t="s">
        <v>38</v>
      </c>
      <c r="E55" s="4" t="s">
        <v>12</v>
      </c>
      <c r="F55" s="4" t="s">
        <v>39</v>
      </c>
      <c r="G55" s="5" t="s">
        <v>330</v>
      </c>
      <c r="H55" s="5" t="s">
        <v>331</v>
      </c>
      <c r="I55" s="5" t="s">
        <v>332</v>
      </c>
      <c r="J55" s="5" t="s">
        <v>333</v>
      </c>
      <c r="K55" s="6"/>
      <c r="L55" s="4" t="s">
        <v>21</v>
      </c>
      <c r="M55" s="5"/>
    </row>
    <row r="56" spans="1:13" ht="82.5">
      <c r="A56" s="4" t="s">
        <v>334</v>
      </c>
      <c r="B56" s="5" t="s">
        <v>328</v>
      </c>
      <c r="C56" s="5" t="s">
        <v>335</v>
      </c>
      <c r="D56" s="4" t="s">
        <v>46</v>
      </c>
      <c r="E56" s="4" t="s">
        <v>16</v>
      </c>
      <c r="F56" s="4" t="s">
        <v>39</v>
      </c>
      <c r="G56" s="5" t="s">
        <v>336</v>
      </c>
      <c r="H56" s="5" t="s">
        <v>337</v>
      </c>
      <c r="I56" s="5" t="s">
        <v>338</v>
      </c>
      <c r="J56" s="5" t="s">
        <v>339</v>
      </c>
      <c r="K56" s="6"/>
      <c r="L56" s="4" t="s">
        <v>21</v>
      </c>
      <c r="M56" s="5" t="s">
        <v>340</v>
      </c>
    </row>
    <row r="57" spans="1:13" ht="99">
      <c r="A57" s="4" t="s">
        <v>341</v>
      </c>
      <c r="B57" s="5" t="s">
        <v>328</v>
      </c>
      <c r="C57" s="5" t="s">
        <v>342</v>
      </c>
      <c r="D57" s="4" t="s">
        <v>60</v>
      </c>
      <c r="E57" s="4" t="s">
        <v>20</v>
      </c>
      <c r="F57" s="4" t="s">
        <v>39</v>
      </c>
      <c r="G57" s="5" t="s">
        <v>343</v>
      </c>
      <c r="H57" s="5" t="s">
        <v>344</v>
      </c>
      <c r="I57" s="5" t="s">
        <v>345</v>
      </c>
      <c r="J57" s="5" t="s">
        <v>346</v>
      </c>
      <c r="K57" s="6"/>
      <c r="L57" s="4" t="s">
        <v>21</v>
      </c>
      <c r="M57" s="5" t="s">
        <v>347</v>
      </c>
    </row>
    <row r="58" spans="1:13" ht="49.5">
      <c r="A58" s="4" t="s">
        <v>348</v>
      </c>
      <c r="B58" s="5" t="s">
        <v>349</v>
      </c>
      <c r="C58" s="5" t="s">
        <v>350</v>
      </c>
      <c r="D58" s="4" t="s">
        <v>38</v>
      </c>
      <c r="E58" s="4" t="s">
        <v>12</v>
      </c>
      <c r="F58" s="4" t="s">
        <v>81</v>
      </c>
      <c r="G58" s="5" t="s">
        <v>351</v>
      </c>
      <c r="H58" s="5" t="s">
        <v>352</v>
      </c>
      <c r="I58" s="5" t="s">
        <v>353</v>
      </c>
      <c r="J58" s="5" t="s">
        <v>354</v>
      </c>
      <c r="K58" s="6"/>
      <c r="L58" s="4" t="s">
        <v>21</v>
      </c>
      <c r="M58" s="5" t="s">
        <v>355</v>
      </c>
    </row>
    <row r="59" spans="1:13" ht="49.5">
      <c r="A59" s="4" t="s">
        <v>356</v>
      </c>
      <c r="B59" s="5" t="s">
        <v>349</v>
      </c>
      <c r="C59" s="5" t="s">
        <v>357</v>
      </c>
      <c r="D59" s="4" t="s">
        <v>46</v>
      </c>
      <c r="E59" s="4" t="s">
        <v>16</v>
      </c>
      <c r="F59" s="4" t="s">
        <v>47</v>
      </c>
      <c r="G59" s="5" t="s">
        <v>358</v>
      </c>
      <c r="H59" s="5" t="s">
        <v>359</v>
      </c>
      <c r="I59" s="5" t="s">
        <v>360</v>
      </c>
      <c r="J59" s="5" t="s">
        <v>361</v>
      </c>
      <c r="K59" s="6"/>
      <c r="L59" s="4" t="s">
        <v>21</v>
      </c>
      <c r="M59" s="5" t="s">
        <v>362</v>
      </c>
    </row>
    <row r="60" spans="1:13" ht="49.5">
      <c r="A60" s="4" t="s">
        <v>363</v>
      </c>
      <c r="B60" s="5" t="s">
        <v>349</v>
      </c>
      <c r="C60" s="5" t="s">
        <v>364</v>
      </c>
      <c r="D60" s="4" t="s">
        <v>60</v>
      </c>
      <c r="E60" s="4" t="s">
        <v>20</v>
      </c>
      <c r="F60" s="4" t="s">
        <v>39</v>
      </c>
      <c r="G60" s="5" t="s">
        <v>365</v>
      </c>
      <c r="H60" s="5" t="s">
        <v>366</v>
      </c>
      <c r="I60" s="5" t="s">
        <v>367</v>
      </c>
      <c r="J60" s="5" t="s">
        <v>368</v>
      </c>
      <c r="K60" s="6"/>
      <c r="L60" s="4" t="s">
        <v>21</v>
      </c>
      <c r="M60" s="5" t="s">
        <v>369</v>
      </c>
    </row>
    <row r="61" spans="1:13" ht="33">
      <c r="A61" s="4" t="s">
        <v>370</v>
      </c>
      <c r="B61" s="5" t="s">
        <v>371</v>
      </c>
      <c r="C61" s="5" t="s">
        <v>372</v>
      </c>
      <c r="D61" s="4" t="s">
        <v>38</v>
      </c>
      <c r="E61" s="4" t="s">
        <v>12</v>
      </c>
      <c r="F61" s="4" t="s">
        <v>81</v>
      </c>
      <c r="G61" s="5" t="s">
        <v>373</v>
      </c>
      <c r="H61" s="5" t="s">
        <v>374</v>
      </c>
      <c r="I61" s="5" t="s">
        <v>375</v>
      </c>
      <c r="J61" s="5" t="s">
        <v>376</v>
      </c>
      <c r="K61" s="6"/>
      <c r="L61" s="4" t="s">
        <v>21</v>
      </c>
      <c r="M61" s="5" t="s">
        <v>377</v>
      </c>
    </row>
    <row r="62" spans="1:13" ht="33">
      <c r="A62" s="4" t="s">
        <v>378</v>
      </c>
      <c r="B62" s="5" t="s">
        <v>371</v>
      </c>
      <c r="C62" s="5" t="s">
        <v>379</v>
      </c>
      <c r="D62" s="4" t="s">
        <v>38</v>
      </c>
      <c r="E62" s="4" t="s">
        <v>12</v>
      </c>
      <c r="F62" s="4" t="s">
        <v>81</v>
      </c>
      <c r="G62" s="5" t="s">
        <v>380</v>
      </c>
      <c r="H62" s="5" t="s">
        <v>381</v>
      </c>
      <c r="I62" s="5" t="s">
        <v>382</v>
      </c>
      <c r="J62" s="5" t="s">
        <v>383</v>
      </c>
      <c r="K62" s="6"/>
      <c r="L62" s="4" t="s">
        <v>21</v>
      </c>
      <c r="M62" s="5" t="s">
        <v>384</v>
      </c>
    </row>
    <row r="63" spans="1:13" ht="66">
      <c r="A63" s="4" t="s">
        <v>385</v>
      </c>
      <c r="B63" s="5" t="s">
        <v>371</v>
      </c>
      <c r="C63" s="5" t="s">
        <v>386</v>
      </c>
      <c r="D63" s="4" t="s">
        <v>46</v>
      </c>
      <c r="E63" s="4" t="s">
        <v>16</v>
      </c>
      <c r="F63" s="4" t="s">
        <v>47</v>
      </c>
      <c r="G63" s="5" t="s">
        <v>387</v>
      </c>
      <c r="H63" s="5" t="s">
        <v>388</v>
      </c>
      <c r="I63" s="5" t="s">
        <v>389</v>
      </c>
      <c r="J63" s="5" t="s">
        <v>390</v>
      </c>
      <c r="K63" s="6"/>
      <c r="L63" s="4" t="s">
        <v>21</v>
      </c>
      <c r="M63" s="5" t="s">
        <v>391</v>
      </c>
    </row>
    <row r="64" spans="1:13">
      <c r="A64" s="4" t="s">
        <v>392</v>
      </c>
      <c r="B64" s="5" t="s">
        <v>371</v>
      </c>
      <c r="C64" s="5" t="s">
        <v>393</v>
      </c>
      <c r="D64" s="4" t="s">
        <v>60</v>
      </c>
      <c r="E64" s="4" t="s">
        <v>20</v>
      </c>
      <c r="F64" s="4" t="s">
        <v>81</v>
      </c>
      <c r="G64" s="5" t="s">
        <v>394</v>
      </c>
      <c r="H64" s="5" t="s">
        <v>395</v>
      </c>
      <c r="I64" s="5" t="s">
        <v>396</v>
      </c>
      <c r="J64" s="5" t="s">
        <v>397</v>
      </c>
      <c r="K64" s="6"/>
      <c r="L64" s="4" t="s">
        <v>21</v>
      </c>
      <c r="M64" s="5"/>
    </row>
    <row r="65" spans="1:13" ht="33">
      <c r="A65" s="4" t="s">
        <v>398</v>
      </c>
      <c r="B65" s="5" t="s">
        <v>371</v>
      </c>
      <c r="C65" s="5" t="s">
        <v>399</v>
      </c>
      <c r="D65" s="4" t="s">
        <v>60</v>
      </c>
      <c r="E65" s="4" t="s">
        <v>20</v>
      </c>
      <c r="F65" s="4" t="s">
        <v>81</v>
      </c>
      <c r="G65" s="5" t="s">
        <v>400</v>
      </c>
      <c r="H65" s="5" t="s">
        <v>401</v>
      </c>
      <c r="I65" s="5" t="s">
        <v>402</v>
      </c>
      <c r="J65" s="5" t="s">
        <v>403</v>
      </c>
      <c r="K65" s="6"/>
      <c r="L65" s="4" t="s">
        <v>21</v>
      </c>
      <c r="M65" s="5"/>
    </row>
    <row r="66" spans="1:13" ht="99">
      <c r="A66" s="4" t="s">
        <v>404</v>
      </c>
      <c r="B66" s="5" t="s">
        <v>371</v>
      </c>
      <c r="C66" s="5" t="s">
        <v>405</v>
      </c>
      <c r="D66" s="4" t="s">
        <v>60</v>
      </c>
      <c r="E66" s="4" t="s">
        <v>20</v>
      </c>
      <c r="F66" s="4" t="s">
        <v>81</v>
      </c>
      <c r="G66" s="5" t="s">
        <v>40</v>
      </c>
      <c r="H66" s="5" t="s">
        <v>406</v>
      </c>
      <c r="I66" s="5" t="s">
        <v>407</v>
      </c>
      <c r="J66" s="5" t="s">
        <v>408</v>
      </c>
      <c r="K66" s="6"/>
      <c r="L66" s="4" t="s">
        <v>21</v>
      </c>
      <c r="M66" s="5" t="s">
        <v>409</v>
      </c>
    </row>
  </sheetData>
  <mergeCells count="6">
    <mergeCell ref="B3:D3"/>
    <mergeCell ref="B5:D5"/>
    <mergeCell ref="A1:M1"/>
    <mergeCell ref="B4:D4"/>
    <mergeCell ref="B6:D6"/>
    <mergeCell ref="B2:D2"/>
  </mergeCells>
  <phoneticPr fontId="5" type="noConversion"/>
  <dataValidations count="3">
    <dataValidation type="list" allowBlank="1" sqref="L10:L66" xr:uid="{00000000-0002-0000-0000-000000000000}">
      <formula1>"Pass,Fail,Blocked,N/A,Not Run"</formula1>
    </dataValidation>
    <dataValidation type="list" allowBlank="1" sqref="D10:D66" xr:uid="{00000000-0002-0000-0000-000001000000}">
      <formula1>"High,Medium,Low"</formula1>
    </dataValidation>
    <dataValidation type="list" allowBlank="1" sqref="E10:E66" xr:uid="{00000000-0002-0000-0000-000002000000}">
      <formula1>"정상,경계,예외"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2" topLeftCell="A3" activePane="bottomLeft" state="frozen"/>
      <selection pane="bottomLeft" sqref="A1:C1"/>
    </sheetView>
  </sheetViews>
  <sheetFormatPr defaultRowHeight="16.5"/>
  <cols>
    <col min="1" max="1" width="26" customWidth="1"/>
    <col min="2" max="3" width="62" customWidth="1"/>
  </cols>
  <sheetData>
    <row r="1" spans="1:3">
      <c r="A1" s="11" t="s">
        <v>410</v>
      </c>
      <c r="B1" s="9"/>
      <c r="C1" s="9"/>
    </row>
    <row r="2" spans="1:3">
      <c r="A2" s="7" t="s">
        <v>411</v>
      </c>
      <c r="B2" s="7" t="s">
        <v>412</v>
      </c>
      <c r="C2" s="7" t="s">
        <v>413</v>
      </c>
    </row>
    <row r="3" spans="1:3" ht="33">
      <c r="A3" s="5" t="s">
        <v>414</v>
      </c>
      <c r="B3" s="5" t="s">
        <v>415</v>
      </c>
      <c r="C3" s="5" t="s">
        <v>416</v>
      </c>
    </row>
    <row r="4" spans="1:3" ht="33">
      <c r="A4" s="5" t="s">
        <v>417</v>
      </c>
      <c r="B4" s="5" t="s">
        <v>418</v>
      </c>
      <c r="C4" s="5" t="s">
        <v>419</v>
      </c>
    </row>
    <row r="5" spans="1:3">
      <c r="A5" s="5" t="s">
        <v>420</v>
      </c>
      <c r="B5" s="5" t="s">
        <v>421</v>
      </c>
      <c r="C5" s="5" t="s">
        <v>422</v>
      </c>
    </row>
    <row r="6" spans="1:3">
      <c r="A6" s="5" t="s">
        <v>423</v>
      </c>
      <c r="B6" s="5" t="s">
        <v>424</v>
      </c>
      <c r="C6" s="5" t="s">
        <v>425</v>
      </c>
    </row>
    <row r="7" spans="1:3" ht="33">
      <c r="A7" s="5" t="s">
        <v>426</v>
      </c>
      <c r="B7" s="5" t="s">
        <v>427</v>
      </c>
      <c r="C7" s="5" t="s">
        <v>428</v>
      </c>
    </row>
    <row r="8" spans="1:3">
      <c r="A8" s="5" t="s">
        <v>429</v>
      </c>
      <c r="B8" s="5" t="s">
        <v>430</v>
      </c>
      <c r="C8" s="5" t="s">
        <v>431</v>
      </c>
    </row>
    <row r="9" spans="1:3" ht="33">
      <c r="A9" s="5" t="s">
        <v>432</v>
      </c>
      <c r="B9" s="5" t="s">
        <v>433</v>
      </c>
      <c r="C9" s="5" t="s">
        <v>434</v>
      </c>
    </row>
    <row r="10" spans="1:3">
      <c r="A10" s="5" t="s">
        <v>435</v>
      </c>
      <c r="B10" s="5" t="s">
        <v>436</v>
      </c>
      <c r="C10" s="5" t="s">
        <v>437</v>
      </c>
    </row>
    <row r="11" spans="1:3" ht="33">
      <c r="A11" s="5" t="s">
        <v>438</v>
      </c>
      <c r="B11" s="5" t="s">
        <v>439</v>
      </c>
      <c r="C11" s="5" t="s">
        <v>440</v>
      </c>
    </row>
    <row r="12" spans="1:3" ht="33">
      <c r="A12" s="5" t="s">
        <v>441</v>
      </c>
      <c r="B12" s="5" t="s">
        <v>442</v>
      </c>
      <c r="C12" s="5" t="s">
        <v>443</v>
      </c>
    </row>
    <row r="13" spans="1:3" ht="33">
      <c r="A13" s="5" t="s">
        <v>444</v>
      </c>
      <c r="B13" s="5" t="s">
        <v>445</v>
      </c>
      <c r="C13" s="5" t="s">
        <v>446</v>
      </c>
    </row>
    <row r="14" spans="1:3" ht="33">
      <c r="A14" s="5" t="s">
        <v>447</v>
      </c>
      <c r="B14" s="5" t="s">
        <v>448</v>
      </c>
      <c r="C14" s="5" t="s">
        <v>449</v>
      </c>
    </row>
  </sheetData>
  <mergeCells count="1">
    <mergeCell ref="A1:C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 Cases</vt:lpstr>
      <vt:lpstr>Spec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2026-09-09T05:35:10Z</dcterms:created>
  <dcterms:modified xsi:type="dcterms:W3CDTF">2026-09-09T05:51:04Z</dcterms:modified>
</cp:coreProperties>
</file>