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est Cases" sheetId="1" state="visible" r:id="rId1"/>
  </sheets>
  <definedNames>
    <definedName name="_xlnm.Print_Titles" localSheetId="0">'Test Cases'!$9:$9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맑은 고딕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sz val="10"/>
    </font>
    <font>
      <name val="Arial"/>
      <sz val="10"/>
    </font>
    <font>
      <name val="Arial"/>
      <b val="1"/>
      <color rgb="FFFFFFFF"/>
      <sz val="10"/>
    </font>
    <font>
      <name val="Arial"/>
      <color rgb="FF404040"/>
      <sz val="9"/>
    </font>
    <font>
      <name val="맑은 고딕"/>
      <charset val="129"/>
      <family val="3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F4E5F"/>
      </patternFill>
    </fill>
    <fill>
      <patternFill patternType="solid">
        <fgColor rgb="FFD6E4E5"/>
      </patternFill>
    </fill>
    <fill>
      <patternFill patternType="solid">
        <fgColor rgb="FFEEF3F3"/>
      </patternFill>
    </fill>
    <fill>
      <patternFill patternType="solid">
        <fgColor rgb="FF2E6E7E"/>
      </patternFill>
    </fill>
    <fill>
      <patternFill patternType="solid">
        <fgColor rgb="FFFFF9E3"/>
      </patternFill>
    </fill>
  </fills>
  <borders count="2">
    <border>
      <left/>
      <right/>
      <top/>
      <bottom/>
      <diagonal/>
    </border>
    <border>
      <left style="thin">
        <color rgb="FFB7C7C9"/>
      </left>
      <right style="thin">
        <color rgb="FFB7C7C9"/>
      </right>
      <top style="thin">
        <color rgb="FFB7C7C9"/>
      </top>
      <bottom style="thin">
        <color rgb="FFB7C7C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left" vertical="center"/>
    </xf>
  </cellXfs>
  <cellStyles count="1">
    <cellStyle name="표준" xfId="0" builtinId="0"/>
  </cellStyles>
  <dxfs count="5">
    <dxf>
      <font>
        <name val="Arial"/>
        <color rgb="FF7F7F7F"/>
        <sz val="10"/>
      </font>
      <fill>
        <patternFill patternType="solid">
          <fgColor rgb="FFF2F2F2"/>
        </patternFill>
      </fill>
    </dxf>
    <dxf>
      <font>
        <name val="Arial"/>
        <color rgb="FF595959"/>
        <sz val="10"/>
      </font>
      <fill>
        <patternFill patternType="solid">
          <fgColor rgb="FFD9D9D9"/>
        </patternFill>
      </fill>
    </dxf>
    <dxf>
      <font>
        <name val="Arial"/>
        <color rgb="FF9C6500"/>
        <sz val="10"/>
      </font>
      <fill>
        <patternFill patternType="solid">
          <fgColor rgb="FFFFEB9C"/>
        </patternFill>
      </fill>
    </dxf>
    <dxf>
      <font>
        <name val="Arial"/>
        <color rgb="FF9C0006"/>
        <sz val="10"/>
      </font>
      <fill>
        <patternFill patternType="solid">
          <fgColor rgb="FFFFC7CE"/>
        </patternFill>
      </fill>
    </dxf>
    <dxf>
      <font>
        <name val="Arial"/>
        <color rgb="FF006100"/>
        <sz val="1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showGridLines="0" tabSelected="1" workbookViewId="0">
      <pane ySplit="9" topLeftCell="A10" activePane="bottomLeft" state="frozen"/>
      <selection pane="bottomLeft" activeCell="A1" sqref="A1:M1"/>
    </sheetView>
  </sheetViews>
  <sheetFormatPr baseColWidth="8" defaultRowHeight="16.5"/>
  <cols>
    <col width="11" customWidth="1" style="12" min="1" max="1"/>
    <col width="14" customWidth="1" style="12" min="2" max="2"/>
    <col width="34" customWidth="1" style="12" min="3" max="3"/>
    <col width="10" customWidth="1" style="12" min="4" max="4"/>
    <col width="8" customWidth="1" style="12" min="5" max="6"/>
    <col width="28" customWidth="1" style="12" min="7" max="7"/>
    <col width="44" customWidth="1" style="12" min="8" max="8"/>
    <col width="26" customWidth="1" style="12" min="9" max="9"/>
    <col width="42" customWidth="1" style="12" min="10" max="10"/>
    <col width="20" customWidth="1" style="12" min="11" max="11"/>
    <col width="11" customWidth="1" style="12" min="12" max="12"/>
    <col width="16" customWidth="1" style="12" min="13" max="13"/>
  </cols>
  <sheetData>
    <row r="1" ht="26.1" customHeight="1" s="12">
      <c r="A1" s="13" t="inlineStr">
        <is>
          <t>테스트 케이스 명세서  |  Test Case Specification</t>
        </is>
      </c>
    </row>
    <row r="2">
      <c r="A2" s="1" t="inlineStr">
        <is>
          <t>프로젝트</t>
        </is>
      </c>
      <c r="B2" s="11" t="inlineStr">
        <is>
          <t>테스트 케이스 자동 생성 (Test Case Generator)</t>
        </is>
      </c>
      <c r="F2" s="1" t="inlineStr">
        <is>
          <t>Total</t>
        </is>
      </c>
      <c r="G2" s="2">
        <f>COUNTA(A10:A52)</f>
        <v/>
      </c>
      <c r="H2" s="1" t="inlineStr">
        <is>
          <t>Pass Rate</t>
        </is>
      </c>
      <c r="I2" s="14">
        <f>IFERROR(G3/(G3+G4+G5),0)</f>
        <v/>
      </c>
    </row>
    <row r="3">
      <c r="A3" s="1" t="inlineStr">
        <is>
          <t>모듈</t>
        </is>
      </c>
      <c r="B3" s="11" t="inlineStr">
        <is>
          <t>림버스 컴퍼니 (Limbus Company) — 전체 개요 (얕고 넓게)</t>
        </is>
      </c>
      <c r="F3" s="1" t="inlineStr">
        <is>
          <t>Pass</t>
        </is>
      </c>
      <c r="G3" s="2">
        <f>COUNTIF(L10:L52,"Pass")</f>
        <v/>
      </c>
      <c r="H3" s="1" t="inlineStr">
        <is>
          <t>실행 완료</t>
        </is>
      </c>
      <c r="I3" s="2">
        <f>G3+G4+G5</f>
        <v/>
      </c>
    </row>
    <row r="4">
      <c r="A4" s="1" t="inlineStr">
        <is>
          <t>작성자</t>
        </is>
      </c>
      <c r="B4" s="11" t="inlineStr">
        <is>
          <t>202127065</t>
        </is>
      </c>
      <c r="F4" s="1" t="inlineStr">
        <is>
          <t>Fail</t>
        </is>
      </c>
      <c r="G4" s="2">
        <f>COUNTIF(L10:L52,"Fail")</f>
        <v/>
      </c>
    </row>
    <row r="5">
      <c r="A5" s="1" t="inlineStr">
        <is>
          <t>작성일</t>
        </is>
      </c>
      <c r="B5" s="11" t="inlineStr">
        <is>
          <t>2026-09-02</t>
        </is>
      </c>
      <c r="F5" s="1" t="inlineStr">
        <is>
          <t>Blocked</t>
        </is>
      </c>
      <c r="G5" s="2">
        <f>COUNTIF(L10:L52,"Blocked")</f>
        <v/>
      </c>
    </row>
    <row r="6">
      <c r="A6" s="1" t="inlineStr">
        <is>
          <t>명세 문서</t>
        </is>
      </c>
      <c r="B6" s="11" t="inlineStr">
        <is>
          <t>input/SPEC-limbus-company-overview.md</t>
        </is>
      </c>
      <c r="F6" s="1" t="inlineStr">
        <is>
          <t>N/A</t>
        </is>
      </c>
      <c r="G6" s="2">
        <f>COUNTIF(L10:L52,"N/A")</f>
        <v/>
      </c>
    </row>
    <row r="7">
      <c r="F7" s="1" t="inlineStr">
        <is>
          <t>Not Run</t>
        </is>
      </c>
      <c r="G7" s="2">
        <f>COUNTIF(L10:L52,"Not Run")</f>
        <v/>
      </c>
    </row>
    <row r="8"/>
    <row r="9" ht="20.1" customHeight="1" s="12">
      <c r="A9" s="4" t="inlineStr">
        <is>
          <t>TC ID</t>
        </is>
      </c>
      <c r="B9" s="4" t="inlineStr">
        <is>
          <t>대분류</t>
        </is>
      </c>
      <c r="C9" s="4" t="inlineStr">
        <is>
          <t>테스트 시나리오</t>
        </is>
      </c>
      <c r="D9" s="4" t="inlineStr">
        <is>
          <t>우선순위</t>
        </is>
      </c>
      <c r="E9" s="4" t="inlineStr">
        <is>
          <t>유형</t>
        </is>
      </c>
      <c r="F9" s="4" t="inlineStr">
        <is>
          <t>기법</t>
        </is>
      </c>
      <c r="G9" s="4" t="inlineStr">
        <is>
          <t>전제조건</t>
        </is>
      </c>
      <c r="H9" s="4" t="inlineStr">
        <is>
          <t>테스트 절차</t>
        </is>
      </c>
      <c r="I9" s="4" t="inlineStr">
        <is>
          <t>테스트 데이터 / 조건</t>
        </is>
      </c>
      <c r="J9" s="4" t="inlineStr">
        <is>
          <t>기대 결과</t>
        </is>
      </c>
      <c r="K9" s="4" t="inlineStr">
        <is>
          <t>실제 결과</t>
        </is>
      </c>
      <c r="L9" s="4" t="inlineStr">
        <is>
          <t>상태</t>
        </is>
      </c>
      <c r="M9" s="4" t="inlineStr">
        <is>
          <t>비고</t>
        </is>
      </c>
    </row>
    <row r="10" ht="60" customHeight="1" s="12">
      <c r="A10" s="5" t="inlineStr">
        <is>
          <t>TC-01</t>
        </is>
      </c>
      <c r="B10" s="5" t="inlineStr">
        <is>
          <t>계정/세션</t>
        </is>
      </c>
      <c r="C10" s="6" t="inlineStr">
        <is>
          <t>정상 로그인 및 데이터 연동</t>
        </is>
      </c>
      <c r="D10" s="5" t="inlineStr">
        <is>
          <t>High</t>
        </is>
      </c>
      <c r="E10" s="5" t="inlineStr">
        <is>
          <t>정상</t>
        </is>
      </c>
      <c r="F10" s="5" t="inlineStr">
        <is>
          <t>EP</t>
        </is>
      </c>
      <c r="G10" s="6" t="inlineStr">
        <is>
          <t>유효한 연동 계정 보유</t>
        </is>
      </c>
      <c r="H10" s="6" t="inlineStr">
        <is>
          <t>1) 앱 실행
2) 계정 연동 선택
3) 유효한 인증 완료</t>
        </is>
      </c>
      <c r="I10" s="6" t="inlineStr">
        <is>
          <t>유효 연동 계정</t>
        </is>
      </c>
      <c r="J10" s="6" t="inlineStr">
        <is>
          <t>로그인 성공, 기존 계정 데이터(인격/재화/진행도) 로드</t>
        </is>
      </c>
      <c r="K10" s="7" t="n"/>
      <c r="L10" s="8" t="inlineStr">
        <is>
          <t>Not Run</t>
        </is>
      </c>
      <c r="M10" s="7" t="n"/>
    </row>
    <row r="11" ht="60" customHeight="1" s="12">
      <c r="A11" s="5" t="inlineStr">
        <is>
          <t>TC-02</t>
        </is>
      </c>
      <c r="B11" s="5" t="inlineStr">
        <is>
          <t>계정/세션</t>
        </is>
      </c>
      <c r="C11" s="6" t="inlineStr">
        <is>
          <t>데이터 연동 코드 오류</t>
        </is>
      </c>
      <c r="D11" s="5" t="inlineStr">
        <is>
          <t>High</t>
        </is>
      </c>
      <c r="E11" s="5" t="inlineStr">
        <is>
          <t>예외</t>
        </is>
      </c>
      <c r="F11" s="5" t="inlineStr">
        <is>
          <t>EP</t>
        </is>
      </c>
      <c r="G11" s="6" t="inlineStr">
        <is>
          <t>-</t>
        </is>
      </c>
      <c r="H11" s="6" t="inlineStr">
        <is>
          <t>1) 데이터 연동 화면
2) 잘못된 연동 코드 입력
3) 확인</t>
        </is>
      </c>
      <c r="I11" s="6" t="inlineStr">
        <is>
          <t>형식은 맞으나 존재하지 않는 코드</t>
        </is>
      </c>
      <c r="J11" s="6" t="inlineStr">
        <is>
          <t>"연동에 실패했습니다" 오류, 로그인 진행 불가</t>
        </is>
      </c>
      <c r="K11" s="7" t="n"/>
      <c r="L11" s="8" t="inlineStr">
        <is>
          <t>Not Run</t>
        </is>
      </c>
      <c r="M11" s="7" t="n"/>
    </row>
    <row r="12" ht="60" customHeight="1" s="12">
      <c r="A12" s="5" t="inlineStr">
        <is>
          <t>TC-03</t>
        </is>
      </c>
      <c r="B12" s="5" t="inlineStr">
        <is>
          <t>스태미나</t>
        </is>
      </c>
      <c r="C12" s="6" t="inlineStr">
        <is>
          <t>엔케팔린 최대치에서 자연 회복 정지</t>
        </is>
      </c>
      <c r="D12" s="5" t="inlineStr">
        <is>
          <t>Medium</t>
        </is>
      </c>
      <c r="E12" s="5" t="inlineStr">
        <is>
          <t>경계</t>
        </is>
      </c>
      <c r="F12" s="5" t="inlineStr">
        <is>
          <t>BVA</t>
        </is>
      </c>
      <c r="G12" s="6" t="inlineStr">
        <is>
          <t>엔케팔린 = 최대치</t>
        </is>
      </c>
      <c r="H12" s="6" t="inlineStr">
        <is>
          <t>1) 자연 회복 시간 경과
2) 엔케팔린 수치 확인</t>
        </is>
      </c>
      <c r="I12" s="6" t="inlineStr">
        <is>
          <t>보유 = MAX</t>
        </is>
      </c>
      <c r="J12" s="6" t="inlineStr">
        <is>
          <t>수치가 MAX에서 더 증가하지 않음</t>
        </is>
      </c>
      <c r="K12" s="7" t="n"/>
      <c r="L12" s="8" t="inlineStr">
        <is>
          <t>Not Run</t>
        </is>
      </c>
      <c r="M12" s="7" t="n"/>
    </row>
    <row r="13" ht="60" customHeight="1" s="12">
      <c r="A13" s="5" t="inlineStr">
        <is>
          <t>TC-04</t>
        </is>
      </c>
      <c r="B13" s="5" t="inlineStr">
        <is>
          <t>스태미나</t>
        </is>
      </c>
      <c r="C13" s="6" t="inlineStr">
        <is>
          <t>스테이지 입장 시 엔케팔린 부족</t>
        </is>
      </c>
      <c r="D13" s="5" t="inlineStr">
        <is>
          <t>High</t>
        </is>
      </c>
      <c r="E13" s="5" t="inlineStr">
        <is>
          <t>예외</t>
        </is>
      </c>
      <c r="F13" s="5" t="inlineStr">
        <is>
          <t>EP</t>
        </is>
      </c>
      <c r="G13" s="6" t="inlineStr">
        <is>
          <t>보유 엔케팔린 &lt; 스테이지 요구치</t>
        </is>
      </c>
      <c r="H13" s="6" t="inlineStr">
        <is>
          <t>1) 스테이지 선택
2) 입장 시도</t>
        </is>
      </c>
      <c r="I13" s="6" t="inlineStr">
        <is>
          <t>요구 10, 보유 9</t>
        </is>
      </c>
      <c r="J13" s="6" t="inlineStr">
        <is>
          <t>입장 불가, 부족 안내 및 충전 유도</t>
        </is>
      </c>
      <c r="K13" s="7" t="n"/>
      <c r="L13" s="8" t="inlineStr">
        <is>
          <t>Not Run</t>
        </is>
      </c>
      <c r="M13" s="7" t="n"/>
    </row>
    <row r="14" ht="60" customHeight="1" s="12">
      <c r="A14" s="5" t="inlineStr">
        <is>
          <t>TC-05</t>
        </is>
      </c>
      <c r="B14" s="5" t="inlineStr">
        <is>
          <t>스태미나</t>
        </is>
      </c>
      <c r="C14" s="6" t="inlineStr">
        <is>
          <t>모듈 충전 시 최대치 초과분 보관</t>
        </is>
      </c>
      <c r="D14" s="5" t="inlineStr">
        <is>
          <t>Low</t>
        </is>
      </c>
      <c r="E14" s="5" t="inlineStr">
        <is>
          <t>경계</t>
        </is>
      </c>
      <c r="F14" s="5" t="inlineStr">
        <is>
          <t>BVA</t>
        </is>
      </c>
      <c r="G14" s="6" t="inlineStr">
        <is>
          <t>엔케팔린 = MAX - 5</t>
        </is>
      </c>
      <c r="H14" s="6" t="inlineStr">
        <is>
          <t>1) 충전 모듈(+100) 사용</t>
        </is>
      </c>
      <c r="I14" s="6" t="inlineStr">
        <is>
          <t>MAX-5 상태에서 +100</t>
        </is>
      </c>
      <c r="J14" s="6" t="inlineStr">
        <is>
          <t>[가정] 총량이 MAX를 넘어 저장됨 (초과분 보관)</t>
        </is>
      </c>
      <c r="K14" s="7" t="n"/>
      <c r="L14" s="8" t="inlineStr">
        <is>
          <t>Not Run</t>
        </is>
      </c>
      <c r="M14" s="7" t="n"/>
    </row>
    <row r="15" ht="60" customHeight="1" s="12">
      <c r="A15" s="5" t="inlineStr">
        <is>
          <t>TC-06</t>
        </is>
      </c>
      <c r="B15" s="5" t="inlineStr">
        <is>
          <t>추출</t>
        </is>
      </c>
      <c r="C15" s="6" t="inlineStr">
        <is>
          <t>10회 추출 시 3성 인격 최소 1개 보장</t>
        </is>
      </c>
      <c r="D15" s="5" t="inlineStr">
        <is>
          <t>Medium</t>
        </is>
      </c>
      <c r="E15" s="5" t="inlineStr">
        <is>
          <t>경계</t>
        </is>
      </c>
      <c r="F15" s="5" t="inlineStr">
        <is>
          <t>BVA</t>
        </is>
      </c>
      <c r="G15" s="6" t="inlineStr">
        <is>
          <t>추출 재화 충분</t>
        </is>
      </c>
      <c r="H15" s="6" t="inlineStr">
        <is>
          <t>1) 10회 추출 실행
2) 결과 확인</t>
        </is>
      </c>
      <c r="I15" s="6" t="inlineStr">
        <is>
          <t>10연차 1회</t>
        </is>
      </c>
      <c r="J15" s="6" t="inlineStr">
        <is>
          <t>[가정] 결과 10개 중 3성(최고 등급) 이상 최소 1개 포함</t>
        </is>
      </c>
      <c r="K15" s="7" t="n"/>
      <c r="L15" s="8" t="inlineStr">
        <is>
          <t>Not Run</t>
        </is>
      </c>
      <c r="M15" s="7" t="n"/>
    </row>
    <row r="16" ht="60" customHeight="1" s="12">
      <c r="A16" s="5" t="inlineStr">
        <is>
          <t>TC-07</t>
        </is>
      </c>
      <c r="B16" s="5" t="inlineStr">
        <is>
          <t>추출</t>
        </is>
      </c>
      <c r="C16" s="6" t="inlineStr">
        <is>
          <t>재화 부족 시 추출 불가</t>
        </is>
      </c>
      <c r="D16" s="5" t="inlineStr">
        <is>
          <t>High</t>
        </is>
      </c>
      <c r="E16" s="5" t="inlineStr">
        <is>
          <t>예외</t>
        </is>
      </c>
      <c r="F16" s="5" t="inlineStr">
        <is>
          <t>EP</t>
        </is>
      </c>
      <c r="G16" s="6" t="inlineStr">
        <is>
          <t>보유 재화 &lt; 추출 비용</t>
        </is>
      </c>
      <c r="H16" s="6" t="inlineStr">
        <is>
          <t>1) 추출 버튼 클릭</t>
        </is>
      </c>
      <c r="I16" s="6" t="inlineStr">
        <is>
          <t>1회 비용 130, 보유 100</t>
        </is>
      </c>
      <c r="J16" s="6" t="inlineStr">
        <is>
          <t>추출 불가, 재화 부족 안내</t>
        </is>
      </c>
      <c r="K16" s="7" t="n"/>
      <c r="L16" s="8" t="inlineStr">
        <is>
          <t>Not Run</t>
        </is>
      </c>
      <c r="M16" s="7" t="n"/>
    </row>
    <row r="17" ht="60" customHeight="1" s="12">
      <c r="A17" s="5" t="inlineStr">
        <is>
          <t>TC-08</t>
        </is>
      </c>
      <c r="B17" s="5" t="inlineStr">
        <is>
          <t>추출</t>
        </is>
      </c>
      <c r="C17" s="6" t="inlineStr">
        <is>
          <t>천장(디스펜서) 도달 시 교환 수단 지급</t>
        </is>
      </c>
      <c r="D17" s="5" t="inlineStr">
        <is>
          <t>Medium</t>
        </is>
      </c>
      <c r="E17" s="5" t="inlineStr">
        <is>
          <t>경계</t>
        </is>
      </c>
      <c r="F17" s="5" t="inlineStr">
        <is>
          <t>ST</t>
        </is>
      </c>
      <c r="G17" s="6" t="inlineStr">
        <is>
          <t>누적 추출 199회</t>
        </is>
      </c>
      <c r="H17" s="6" t="inlineStr">
        <is>
          <t>1) 1회 더 추출(200회째)
2) 천장 보상 확인</t>
        </is>
      </c>
      <c r="I17" s="6" t="inlineStr">
        <is>
          <t>천장 기준 200회 [가정]</t>
        </is>
      </c>
      <c r="J17" s="6" t="inlineStr">
        <is>
          <t>[가정] 200회 도달 시 선택 교환권/조각 다발 지급, 카운터 규칙대로 갱신</t>
        </is>
      </c>
      <c r="K17" s="7" t="n"/>
      <c r="L17" s="8" t="inlineStr">
        <is>
          <t>Not Run</t>
        </is>
      </c>
      <c r="M17" s="7" t="n"/>
    </row>
    <row r="18" ht="60" customHeight="1" s="12">
      <c r="A18" s="5" t="inlineStr">
        <is>
          <t>TC-09</t>
        </is>
      </c>
      <c r="B18" s="5" t="inlineStr">
        <is>
          <t>추출</t>
        </is>
      </c>
      <c r="C18" s="6" t="inlineStr">
        <is>
          <t>중복 인격 획득 시 조각 전환</t>
        </is>
      </c>
      <c r="D18" s="5" t="inlineStr">
        <is>
          <t>Medium</t>
        </is>
      </c>
      <c r="E18" s="5" t="inlineStr">
        <is>
          <t>정상</t>
        </is>
      </c>
      <c r="F18" s="5" t="inlineStr">
        <is>
          <t>DT</t>
        </is>
      </c>
      <c r="G18" s="6" t="inlineStr">
        <is>
          <t>특정 3성 인격 이미 보유</t>
        </is>
      </c>
      <c r="H18" s="6" t="inlineStr">
        <is>
          <t>1) 추출에서 동일 인격 획득</t>
        </is>
      </c>
      <c r="I18" s="6" t="inlineStr">
        <is>
          <t>보유 중인 인격 재획득</t>
        </is>
      </c>
      <c r="J18" s="6" t="inlineStr">
        <is>
          <t>인격 대신 해당 인격 조각으로 자동 전환, 보유 조각 증가</t>
        </is>
      </c>
      <c r="K18" s="7" t="n"/>
      <c r="L18" s="8" t="inlineStr">
        <is>
          <t>Not Run</t>
        </is>
      </c>
      <c r="M18" s="7" t="n"/>
    </row>
    <row r="19" ht="60" customHeight="1" s="12">
      <c r="A19" s="5" t="inlineStr">
        <is>
          <t>TC-10</t>
        </is>
      </c>
      <c r="B19" s="5" t="inlineStr">
        <is>
          <t>성장</t>
        </is>
      </c>
      <c r="C19" s="6" t="inlineStr">
        <is>
          <t>경험치가 다음 레벨 요구치에 정확히 도달</t>
        </is>
      </c>
      <c r="D19" s="5" t="inlineStr">
        <is>
          <t>Medium</t>
        </is>
      </c>
      <c r="E19" s="5" t="inlineStr">
        <is>
          <t>경계</t>
        </is>
      </c>
      <c r="F19" s="5" t="inlineStr">
        <is>
          <t>BVA</t>
        </is>
      </c>
      <c r="G19" s="6" t="inlineStr">
        <is>
          <t>다음 레벨까지 경험치 1 부족</t>
        </is>
      </c>
      <c r="H19" s="6" t="inlineStr">
        <is>
          <t>1) 경험치 +1 획득</t>
        </is>
      </c>
      <c r="I19" s="6" t="inlineStr">
        <is>
          <t>필요 1000, 현재 999 → +1</t>
        </is>
      </c>
      <c r="J19" s="6" t="inlineStr">
        <is>
          <t>레벨 +1, 잉여 경험치 0으로 이월</t>
        </is>
      </c>
      <c r="K19" s="7" t="n"/>
      <c r="L19" s="8" t="inlineStr">
        <is>
          <t>Not Run</t>
        </is>
      </c>
      <c r="M19" s="7" t="n"/>
    </row>
    <row r="20" ht="60" customHeight="1" s="12">
      <c r="A20" s="5" t="inlineStr">
        <is>
          <t>TC-11</t>
        </is>
      </c>
      <c r="B20" s="5" t="inlineStr">
        <is>
          <t>성장</t>
        </is>
      </c>
      <c r="C20" s="6" t="inlineStr">
        <is>
          <t>계정 레벨 상한 초과 레벨업 차단</t>
        </is>
      </c>
      <c r="D20" s="5" t="inlineStr">
        <is>
          <t>High</t>
        </is>
      </c>
      <c r="E20" s="5" t="inlineStr">
        <is>
          <t>경계</t>
        </is>
      </c>
      <c r="F20" s="5" t="inlineStr">
        <is>
          <t>BVA</t>
        </is>
      </c>
      <c r="G20" s="6" t="inlineStr">
        <is>
          <t>인격 레벨 = 계정 레벨 상한</t>
        </is>
      </c>
      <c r="H20" s="6" t="inlineStr">
        <is>
          <t>1) 경험치 아이템 사용</t>
        </is>
      </c>
      <c r="I20" s="6" t="inlineStr">
        <is>
          <t>인격 40 / 계정 상한 40</t>
        </is>
      </c>
      <c r="J20" s="6" t="inlineStr">
        <is>
          <t>레벨 상한 유지, 추가 경험치 미반영(또는 상한 표시), 아이템 소모 방지</t>
        </is>
      </c>
      <c r="K20" s="7" t="n"/>
      <c r="L20" s="8" t="inlineStr">
        <is>
          <t>Not Run</t>
        </is>
      </c>
      <c r="M20" s="7" t="n"/>
    </row>
    <row r="21" ht="60" customHeight="1" s="12">
      <c r="A21" s="5" t="inlineStr">
        <is>
          <t>TC-12</t>
        </is>
      </c>
      <c r="B21" s="5" t="inlineStr">
        <is>
          <t>성장</t>
        </is>
      </c>
      <c r="C21" s="6" t="inlineStr">
        <is>
          <t>동기화(Uptie) 4단계에서 추가 동기화 불가</t>
        </is>
      </c>
      <c r="D21" s="5" t="inlineStr">
        <is>
          <t>Medium</t>
        </is>
      </c>
      <c r="E21" s="5" t="inlineStr">
        <is>
          <t>경계</t>
        </is>
      </c>
      <c r="F21" s="5" t="inlineStr">
        <is>
          <t>BVA</t>
        </is>
      </c>
      <c r="G21" s="6" t="inlineStr">
        <is>
          <t>대상 인격 동기화 4단계</t>
        </is>
      </c>
      <c r="H21" s="6" t="inlineStr">
        <is>
          <t>1) 동기화 메뉴 진입
2) 동기화 시도</t>
        </is>
      </c>
      <c r="I21" s="6" t="inlineStr">
        <is>
          <t>Uptie Lv.4</t>
        </is>
      </c>
      <c r="J21" s="6" t="inlineStr">
        <is>
          <t>동기화 버튼 비활성, "최대 단계" 안내</t>
        </is>
      </c>
      <c r="K21" s="7" t="n"/>
      <c r="L21" s="8" t="inlineStr">
        <is>
          <t>Not Run</t>
        </is>
      </c>
      <c r="M21" s="7" t="n"/>
    </row>
    <row r="22" ht="60" customHeight="1" s="12">
      <c r="A22" s="5" t="inlineStr">
        <is>
          <t>TC-13</t>
        </is>
      </c>
      <c r="B22" s="5" t="inlineStr">
        <is>
          <t>성장</t>
        </is>
      </c>
      <c r="C22" s="6" t="inlineStr">
        <is>
          <t>동기화 재료 부족</t>
        </is>
      </c>
      <c r="D22" s="5" t="inlineStr">
        <is>
          <t>Medium</t>
        </is>
      </c>
      <c r="E22" s="5" t="inlineStr">
        <is>
          <t>예외</t>
        </is>
      </c>
      <c r="F22" s="5" t="inlineStr">
        <is>
          <t>EP</t>
        </is>
      </c>
      <c r="G22" s="6" t="inlineStr">
        <is>
          <t>동기화 재료 보유 &lt; 요구량</t>
        </is>
      </c>
      <c r="H22" s="6" t="inlineStr">
        <is>
          <t>1) 동기화 실행 시도</t>
        </is>
      </c>
      <c r="I22" s="6" t="inlineStr">
        <is>
          <t>요구 20, 보유 15</t>
        </is>
      </c>
      <c r="J22" s="6" t="inlineStr">
        <is>
          <t>실행 불가, 부족 재료 표시</t>
        </is>
      </c>
      <c r="K22" s="7" t="n"/>
      <c r="L22" s="8" t="inlineStr">
        <is>
          <t>Not Run</t>
        </is>
      </c>
      <c r="M22" s="7" t="n"/>
    </row>
    <row r="23" ht="60" customHeight="1" s="12">
      <c r="A23" s="5" t="inlineStr">
        <is>
          <t>TC-14</t>
        </is>
      </c>
      <c r="B23" s="5" t="inlineStr">
        <is>
          <t>편성/출격</t>
        </is>
      </c>
      <c r="C23" s="6" t="inlineStr">
        <is>
          <t>출격 6명째 편성 차단</t>
        </is>
      </c>
      <c r="D23" s="5" t="inlineStr">
        <is>
          <t>High</t>
        </is>
      </c>
      <c r="E23" s="5" t="inlineStr">
        <is>
          <t>경계</t>
        </is>
      </c>
      <c r="F23" s="5" t="inlineStr">
        <is>
          <t>BVA</t>
        </is>
      </c>
      <c r="G23" s="6" t="inlineStr">
        <is>
          <t>편성 슬롯에 5명 배치됨</t>
        </is>
      </c>
      <c r="H23" s="6" t="inlineStr">
        <is>
          <t>1) 6번째 인격 편성 시도</t>
        </is>
      </c>
      <c r="I23" s="6" t="inlineStr">
        <is>
          <t>슬롯 5/5</t>
        </is>
      </c>
      <c r="J23" s="6" t="inlineStr">
        <is>
          <t>6명째 추가 불가, 슬롯 최대 안내</t>
        </is>
      </c>
      <c r="K23" s="7" t="n"/>
      <c r="L23" s="8" t="inlineStr">
        <is>
          <t>Not Run</t>
        </is>
      </c>
      <c r="M23" s="7" t="n"/>
    </row>
    <row r="24" ht="60" customHeight="1" s="12">
      <c r="A24" s="5" t="inlineStr">
        <is>
          <t>TC-15</t>
        </is>
      </c>
      <c r="B24" s="5" t="inlineStr">
        <is>
          <t>편성/출격</t>
        </is>
      </c>
      <c r="C24" s="6" t="inlineStr">
        <is>
          <t>빈 편성으로 출격 시도</t>
        </is>
      </c>
      <c r="D24" s="5" t="inlineStr">
        <is>
          <t>High</t>
        </is>
      </c>
      <c r="E24" s="5" t="inlineStr">
        <is>
          <t>예외</t>
        </is>
      </c>
      <c r="F24" s="5" t="inlineStr">
        <is>
          <t>EP</t>
        </is>
      </c>
      <c r="G24" s="6" t="inlineStr">
        <is>
          <t>편성된 인격 0명</t>
        </is>
      </c>
      <c r="H24" s="6" t="inlineStr">
        <is>
          <t>1) 출격 버튼 클릭</t>
        </is>
      </c>
      <c r="I24" s="6" t="inlineStr">
        <is>
          <t>0명 편성</t>
        </is>
      </c>
      <c r="J24" s="6" t="inlineStr">
        <is>
          <t>출격 불가, 최소 1명 편성 요구</t>
        </is>
      </c>
      <c r="K24" s="7" t="n"/>
      <c r="L24" s="8" t="inlineStr">
        <is>
          <t>Not Run</t>
        </is>
      </c>
      <c r="M24" s="7" t="n"/>
    </row>
    <row r="25" ht="60" customHeight="1" s="12">
      <c r="A25" s="5" t="inlineStr">
        <is>
          <t>TC-16</t>
        </is>
      </c>
      <c r="B25" s="5" t="inlineStr">
        <is>
          <t>편성/출격</t>
        </is>
      </c>
      <c r="C25" s="6" t="inlineStr">
        <is>
          <t>동일 죄인의 다른 인격 동시 편성</t>
        </is>
      </c>
      <c r="D25" s="5" t="inlineStr">
        <is>
          <t>Low</t>
        </is>
      </c>
      <c r="E25" s="5" t="inlineStr">
        <is>
          <t>예외</t>
        </is>
      </c>
      <c r="F25" s="5" t="inlineStr">
        <is>
          <t>DT</t>
        </is>
      </c>
      <c r="G25" s="6" t="inlineStr">
        <is>
          <t>같은 죄인의 인격 2종 보유</t>
        </is>
      </c>
      <c r="H25" s="6" t="inlineStr">
        <is>
          <t>1) 죄인 A의 인격1 편성
2) 죄인 A의 인격2 편성 시도</t>
        </is>
      </c>
      <c r="I25" s="6" t="inlineStr">
        <is>
          <t>동일 죄인 인격 2종</t>
        </is>
      </c>
      <c r="J25" s="6" t="inlineStr">
        <is>
          <t>[가정] 두 번째 편성 불가, "같은 죄인 중복 편성 불가" 안내</t>
        </is>
      </c>
      <c r="K25" s="7" t="n"/>
      <c r="L25" s="8" t="inlineStr">
        <is>
          <t>Not Run</t>
        </is>
      </c>
      <c r="M25" s="7" t="n"/>
    </row>
    <row r="26" ht="60" customHeight="1" s="12">
      <c r="A26" s="5" t="inlineStr">
        <is>
          <t>TC-17</t>
        </is>
      </c>
      <c r="B26" s="5" t="inlineStr">
        <is>
          <t>턴/속도</t>
        </is>
      </c>
      <c r="C26" s="6" t="inlineStr">
        <is>
          <t>속도 굴림이 범위 최소/최대를 벗어나지 않음</t>
        </is>
      </c>
      <c r="D26" s="5" t="inlineStr">
        <is>
          <t>Medium</t>
        </is>
      </c>
      <c r="E26" s="5" t="inlineStr">
        <is>
          <t>경계</t>
        </is>
      </c>
      <c r="F26" s="5" t="inlineStr">
        <is>
          <t>BVA</t>
        </is>
      </c>
      <c r="G26" s="6" t="inlineStr">
        <is>
          <t>유닛 속도 범위 3~7</t>
        </is>
      </c>
      <c r="H26" s="6" t="inlineStr">
        <is>
          <t>1) 다수 턴 진행하며 속도 굴림 관찰</t>
        </is>
      </c>
      <c r="I26" s="6" t="inlineStr">
        <is>
          <t>속도 범위 [3,7]</t>
        </is>
      </c>
      <c r="J26" s="6" t="inlineStr">
        <is>
          <t>굴림 값이 항상 3 이상 7 이하</t>
        </is>
      </c>
      <c r="K26" s="7" t="n"/>
      <c r="L26" s="8" t="inlineStr">
        <is>
          <t>Not Run</t>
        </is>
      </c>
      <c r="M26" s="7" t="n"/>
    </row>
    <row r="27" ht="60" customHeight="1" s="12">
      <c r="A27" s="5" t="inlineStr">
        <is>
          <t>TC-18</t>
        </is>
      </c>
      <c r="B27" s="5" t="inlineStr">
        <is>
          <t>턴/속도</t>
        </is>
      </c>
      <c r="C27" s="6" t="inlineStr">
        <is>
          <t>아군 속도 &gt; 적 속도 → 일방 공격 가능</t>
        </is>
      </c>
      <c r="D27" s="5" t="inlineStr">
        <is>
          <t>Medium</t>
        </is>
      </c>
      <c r="E27" s="5" t="inlineStr">
        <is>
          <t>정상</t>
        </is>
      </c>
      <c r="F27" s="5" t="inlineStr">
        <is>
          <t>DT</t>
        </is>
      </c>
      <c r="G27" s="6" t="inlineStr">
        <is>
          <t>아군 속도 6, 대상 적 속도 4</t>
        </is>
      </c>
      <c r="H27" s="6" t="inlineStr">
        <is>
          <t>1) 해당 적을 대상으로 스킬 지정
2) 턴 실행</t>
        </is>
      </c>
      <c r="I27" s="6" t="inlineStr">
        <is>
          <t>아군 6 vs 적 4</t>
        </is>
      </c>
      <c r="J27" s="6" t="inlineStr">
        <is>
          <t>클래시 없이 일방 공격(원사이드) 성립</t>
        </is>
      </c>
      <c r="K27" s="7" t="n"/>
      <c r="L27" s="8" t="inlineStr">
        <is>
          <t>Not Run</t>
        </is>
      </c>
      <c r="M27" s="7" t="n"/>
    </row>
    <row r="28" ht="60" customHeight="1" s="12">
      <c r="A28" s="5" t="inlineStr">
        <is>
          <t>TC-19</t>
        </is>
      </c>
      <c r="B28" s="5" t="inlineStr">
        <is>
          <t>턴/속도</t>
        </is>
      </c>
      <c r="C28" s="6" t="inlineStr">
        <is>
          <t>속도 동률 시 우선순위 처리</t>
        </is>
      </c>
      <c r="D28" s="5" t="inlineStr">
        <is>
          <t>Low</t>
        </is>
      </c>
      <c r="E28" s="5" t="inlineStr">
        <is>
          <t>경계</t>
        </is>
      </c>
      <c r="F28" s="5" t="inlineStr">
        <is>
          <t>ST</t>
        </is>
      </c>
      <c r="G28" s="6" t="inlineStr">
        <is>
          <t>아군과 적 속도 굴림 동률</t>
        </is>
      </c>
      <c r="H28" s="6" t="inlineStr">
        <is>
          <t>1) 턴 진행</t>
        </is>
      </c>
      <c r="I28" s="6" t="inlineStr">
        <is>
          <t>양측 속도 5</t>
        </is>
      </c>
      <c r="J28" s="6" t="inlineStr">
        <is>
          <t>[가정] 정해진 규칙(아군 우선/슬롯 순)으로 행동 순서 확정</t>
        </is>
      </c>
      <c r="K28" s="7" t="n"/>
      <c r="L28" s="8" t="inlineStr">
        <is>
          <t>Not Run</t>
        </is>
      </c>
      <c r="M28" s="7" t="n"/>
    </row>
    <row r="29" ht="60" customHeight="1" s="12">
      <c r="A29" s="5" t="inlineStr">
        <is>
          <t>TC-20</t>
        </is>
      </c>
      <c r="B29" s="5" t="inlineStr">
        <is>
          <t>스킬/코인/SP</t>
        </is>
      </c>
      <c r="C29" s="6" t="inlineStr">
        <is>
          <t>SP +45에서 코인 앞면 확률 상한</t>
        </is>
      </c>
      <c r="D29" s="5" t="inlineStr">
        <is>
          <t>Medium</t>
        </is>
      </c>
      <c r="E29" s="5" t="inlineStr">
        <is>
          <t>경계</t>
        </is>
      </c>
      <c r="F29" s="5" t="inlineStr">
        <is>
          <t>BVA</t>
        </is>
      </c>
      <c r="G29" s="6" t="inlineStr">
        <is>
          <t>유닛 SP = +45</t>
        </is>
      </c>
      <c r="H29" s="6" t="inlineStr">
        <is>
          <t>1) 코인 다수 굴림 표본 관찰</t>
        </is>
      </c>
      <c r="I29" s="6" t="inlineStr">
        <is>
          <t>SP +45</t>
        </is>
      </c>
      <c r="J29" s="6" t="inlineStr">
        <is>
          <t>[가정] 앞면 확률이 상한값(약 95%)에서 더 오르지 않음</t>
        </is>
      </c>
      <c r="K29" s="7" t="n"/>
      <c r="L29" s="8" t="inlineStr">
        <is>
          <t>Not Run</t>
        </is>
      </c>
      <c r="M29" s="7" t="n"/>
    </row>
    <row r="30" ht="60" customHeight="1" s="12">
      <c r="A30" s="5" t="inlineStr">
        <is>
          <t>TC-21</t>
        </is>
      </c>
      <c r="B30" s="5" t="inlineStr">
        <is>
          <t>스킬/코인/SP</t>
        </is>
      </c>
      <c r="C30" s="6" t="inlineStr">
        <is>
          <t>SP -45에서 코인 앞면 확률 하한</t>
        </is>
      </c>
      <c r="D30" s="5" t="inlineStr">
        <is>
          <t>Medium</t>
        </is>
      </c>
      <c r="E30" s="5" t="inlineStr">
        <is>
          <t>경계</t>
        </is>
      </c>
      <c r="F30" s="5" t="inlineStr">
        <is>
          <t>BVA</t>
        </is>
      </c>
      <c r="G30" s="6" t="inlineStr">
        <is>
          <t>유닛 SP = -45</t>
        </is>
      </c>
      <c r="H30" s="6" t="inlineStr">
        <is>
          <t>1) 코인 다수 굴림 표본 관찰</t>
        </is>
      </c>
      <c r="I30" s="6" t="inlineStr">
        <is>
          <t>SP -45</t>
        </is>
      </c>
      <c r="J30" s="6" t="inlineStr">
        <is>
          <t>[가정] 앞면 확률이 하한값(약 5%)에서 더 내려가지 않음</t>
        </is>
      </c>
      <c r="K30" s="7" t="n"/>
      <c r="L30" s="8" t="inlineStr">
        <is>
          <t>Not Run</t>
        </is>
      </c>
      <c r="M30" s="7" t="n"/>
    </row>
    <row r="31" ht="60" customHeight="1" s="12">
      <c r="A31" s="5" t="inlineStr">
        <is>
          <t>TC-22</t>
        </is>
      </c>
      <c r="B31" s="5" t="inlineStr">
        <is>
          <t>스킬/코인/SP</t>
        </is>
      </c>
      <c r="C31" s="6" t="inlineStr">
        <is>
          <t>SP 범위 초과 이벤트 시 +45로 고정</t>
        </is>
      </c>
      <c r="D31" s="5" t="inlineStr">
        <is>
          <t>Medium</t>
        </is>
      </c>
      <c r="E31" s="5" t="inlineStr">
        <is>
          <t>경계</t>
        </is>
      </c>
      <c r="F31" s="5" t="inlineStr">
        <is>
          <t>BVA</t>
        </is>
      </c>
      <c r="G31" s="6" t="inlineStr">
        <is>
          <t>SP +42</t>
        </is>
      </c>
      <c r="H31" s="6" t="inlineStr">
        <is>
          <t>1) SP +10 상승 효과 발동</t>
        </is>
      </c>
      <c r="I31" s="6" t="inlineStr">
        <is>
          <t>+42 에서 +10 상승</t>
        </is>
      </c>
      <c r="J31" s="6" t="inlineStr">
        <is>
          <t>SP는 +52가 아니라 +45로 고정</t>
        </is>
      </c>
      <c r="K31" s="7" t="n"/>
      <c r="L31" s="8" t="inlineStr">
        <is>
          <t>Not Run</t>
        </is>
      </c>
      <c r="M31" s="7" t="n"/>
    </row>
    <row r="32" ht="60" customHeight="1" s="12">
      <c r="A32" s="5" t="inlineStr">
        <is>
          <t>TC-23</t>
        </is>
      </c>
      <c r="B32" s="5" t="inlineStr">
        <is>
          <t>스킬/코인/SP</t>
        </is>
      </c>
      <c r="C32" s="6" t="inlineStr">
        <is>
          <t>코인 전부 뒷면이면 위력 = 기본값</t>
        </is>
      </c>
      <c r="D32" s="5" t="inlineStr">
        <is>
          <t>Medium</t>
        </is>
      </c>
      <c r="E32" s="5" t="inlineStr">
        <is>
          <t>경계</t>
        </is>
      </c>
      <c r="F32" s="5" t="inlineStr">
        <is>
          <t>BVA</t>
        </is>
      </c>
      <c r="G32" s="6" t="inlineStr">
        <is>
          <t>스킬 기본 위력 4, 코인 위력 +3 × 2</t>
        </is>
      </c>
      <c r="H32" s="6" t="inlineStr">
        <is>
          <t>1) 코인 2개 모두 뒷면인 상황 실행</t>
        </is>
      </c>
      <c r="I32" s="6" t="inlineStr">
        <is>
          <t>앞면 0개</t>
        </is>
      </c>
      <c r="J32" s="6" t="inlineStr">
        <is>
          <t>최종 위력 = 4 (코인 가산 없음)</t>
        </is>
      </c>
      <c r="K32" s="7" t="n"/>
      <c r="L32" s="8" t="inlineStr">
        <is>
          <t>Not Run</t>
        </is>
      </c>
      <c r="M32" s="7" t="n"/>
    </row>
    <row r="33" ht="60" customHeight="1" s="12">
      <c r="A33" s="5" t="inlineStr">
        <is>
          <t>TC-24</t>
        </is>
      </c>
      <c r="B33" s="5" t="inlineStr">
        <is>
          <t>합(Clash)</t>
        </is>
      </c>
      <c r="C33" s="6" t="inlineStr">
        <is>
          <t>클래시 승리 시 상대 코인 1개 소모 후 재대결</t>
        </is>
      </c>
      <c r="D33" s="5" t="inlineStr">
        <is>
          <t>Medium</t>
        </is>
      </c>
      <c r="E33" s="5" t="inlineStr">
        <is>
          <t>정상</t>
        </is>
      </c>
      <c r="F33" s="5" t="inlineStr">
        <is>
          <t>ST</t>
        </is>
      </c>
      <c r="G33" s="6" t="inlineStr">
        <is>
          <t>아군 3코인 vs 적 3코인, 첫 굴림 아군 우세</t>
        </is>
      </c>
      <c r="H33" s="6" t="inlineStr">
        <is>
          <t>1) 두 스킬 충돌
2) 결과 관찰</t>
        </is>
      </c>
      <c r="I33" s="6" t="inlineStr">
        <is>
          <t>아군 굴림 &gt; 적 굴림</t>
        </is>
      </c>
      <c r="J33" s="6" t="inlineStr">
        <is>
          <t>적 코인 -1(2개 남음), 양측 재굴림하여 클래시 반복</t>
        </is>
      </c>
      <c r="K33" s="7" t="n"/>
      <c r="L33" s="8" t="inlineStr">
        <is>
          <t>Not Run</t>
        </is>
      </c>
      <c r="M33" s="7" t="n"/>
    </row>
    <row r="34" ht="60" customHeight="1" s="12">
      <c r="A34" s="5" t="inlineStr">
        <is>
          <t>TC-25</t>
        </is>
      </c>
      <c r="B34" s="5" t="inlineStr">
        <is>
          <t>합(Clash)</t>
        </is>
      </c>
      <c r="C34" s="6" t="inlineStr">
        <is>
          <t>한쪽 코인 소진 시 패배, 남은 스킬 명중</t>
        </is>
      </c>
      <c r="D34" s="5" t="inlineStr">
        <is>
          <t>Medium</t>
        </is>
      </c>
      <c r="E34" s="5" t="inlineStr">
        <is>
          <t>예외</t>
        </is>
      </c>
      <c r="F34" s="5" t="inlineStr">
        <is>
          <t>ST</t>
        </is>
      </c>
      <c r="G34" s="6" t="inlineStr">
        <is>
          <t>적 스킬 코인 1개만 남음, 아군 우세</t>
        </is>
      </c>
      <c r="H34" s="6" t="inlineStr">
        <is>
          <t>1) 클래시 1회 더 진행</t>
        </is>
      </c>
      <c r="I34" s="6" t="inlineStr">
        <is>
          <t>적 코인 1 → 0</t>
        </is>
      </c>
      <c r="J34" s="6" t="inlineStr">
        <is>
          <t>적 스킬 패배(무효), 아군 남은 코인 위력으로 적 타격</t>
        </is>
      </c>
      <c r="K34" s="7" t="n"/>
      <c r="L34" s="8" t="inlineStr">
        <is>
          <t>Not Run</t>
        </is>
      </c>
      <c r="M34" s="7" t="n"/>
    </row>
    <row r="35" ht="60" customHeight="1" s="12">
      <c r="A35" s="5" t="inlineStr">
        <is>
          <t>TC-26</t>
        </is>
      </c>
      <c r="B35" s="5" t="inlineStr">
        <is>
          <t>합(Clash)</t>
        </is>
      </c>
      <c r="C35" s="6" t="inlineStr">
        <is>
          <t>무방비 대상은 클래시 없이 명중</t>
        </is>
      </c>
      <c r="D35" s="5" t="inlineStr">
        <is>
          <t>Low</t>
        </is>
      </c>
      <c r="E35" s="5" t="inlineStr">
        <is>
          <t>정상</t>
        </is>
      </c>
      <c r="F35" s="5" t="inlineStr">
        <is>
          <t>EP</t>
        </is>
      </c>
      <c r="G35" s="6" t="inlineStr">
        <is>
          <t>대상 적이 대응 스킬 없음(무방비)</t>
        </is>
      </c>
      <c r="H35" s="6" t="inlineStr">
        <is>
          <t>1) 해당 적 대상 스킬 실행</t>
        </is>
      </c>
      <c r="I35" s="6" t="inlineStr">
        <is>
          <t>적 대응 스킬 없음</t>
        </is>
      </c>
      <c r="J35" s="6" t="inlineStr">
        <is>
          <t>클래시 절차 생략, 스킬 그대로 명중</t>
        </is>
      </c>
      <c r="K35" s="7" t="n"/>
      <c r="L35" s="8" t="inlineStr">
        <is>
          <t>Not Run</t>
        </is>
      </c>
      <c r="M35" s="7" t="n"/>
    </row>
    <row r="36" ht="60" customHeight="1" s="12">
      <c r="A36" s="5" t="inlineStr">
        <is>
          <t>TC-27</t>
        </is>
      </c>
      <c r="B36" s="5" t="inlineStr">
        <is>
          <t>저항/피해</t>
        </is>
      </c>
      <c r="C36" s="6" t="inlineStr">
        <is>
          <t>치명(Fatal) 속성 피해 2배</t>
        </is>
      </c>
      <c r="D36" s="5" t="inlineStr">
        <is>
          <t>Medium</t>
        </is>
      </c>
      <c r="E36" s="5" t="inlineStr">
        <is>
          <t>정상</t>
        </is>
      </c>
      <c r="F36" s="5" t="inlineStr">
        <is>
          <t>DT</t>
        </is>
      </c>
      <c r="G36" s="6" t="inlineStr">
        <is>
          <t>대상이 해당 속성 '치명' 저항</t>
        </is>
      </c>
      <c r="H36" s="6" t="inlineStr">
        <is>
          <t>1) 해당 속성 스킬로 공격</t>
        </is>
      </c>
      <c r="I36" s="6" t="inlineStr">
        <is>
          <t>기본 피해 100, 저항=치명</t>
        </is>
      </c>
      <c r="J36" s="6" t="inlineStr">
        <is>
          <t>[가정] 실제 피해 ≈ 200 (×2.0)</t>
        </is>
      </c>
      <c r="K36" s="7" t="n"/>
      <c r="L36" s="8" t="inlineStr">
        <is>
          <t>Not Run</t>
        </is>
      </c>
      <c r="M36" s="7" t="n"/>
    </row>
    <row r="37" ht="60" customHeight="1" s="12">
      <c r="A37" s="5" t="inlineStr">
        <is>
          <t>TC-28</t>
        </is>
      </c>
      <c r="B37" s="5" t="inlineStr">
        <is>
          <t>저항/피해</t>
        </is>
      </c>
      <c r="C37" s="6" t="inlineStr">
        <is>
          <t>방어 스킬(막기/회피) 성공 시 피해 경감</t>
        </is>
      </c>
      <c r="D37" s="5" t="inlineStr">
        <is>
          <t>Medium</t>
        </is>
      </c>
      <c r="E37" s="5" t="inlineStr">
        <is>
          <t>정상</t>
        </is>
      </c>
      <c r="F37" s="5" t="inlineStr">
        <is>
          <t>DT</t>
        </is>
      </c>
      <c r="G37" s="6" t="inlineStr">
        <is>
          <t>아군이 방어 스킬 지정, 방어 굴림 우세</t>
        </is>
      </c>
      <c r="H37" s="6" t="inlineStr">
        <is>
          <t>1) 적 공격 vs 아군 방어 스킬 대결</t>
        </is>
      </c>
      <c r="I37" s="6" t="inlineStr">
        <is>
          <t>방어 굴림 &gt; 공격 굴림</t>
        </is>
      </c>
      <c r="J37" s="6" t="inlineStr">
        <is>
          <t>피해 무효 또는 큰 폭 경감, 방어 스킬 효과 발동</t>
        </is>
      </c>
      <c r="K37" s="7" t="n"/>
      <c r="L37" s="8" t="inlineStr">
        <is>
          <t>Not Run</t>
        </is>
      </c>
      <c r="M37" s="7" t="n"/>
    </row>
    <row r="38" ht="60" customHeight="1" s="12">
      <c r="A38" s="5" t="inlineStr">
        <is>
          <t>TC-29</t>
        </is>
      </c>
      <c r="B38" s="5" t="inlineStr">
        <is>
          <t>상태이상</t>
        </is>
      </c>
      <c r="C38" s="6" t="inlineStr">
        <is>
          <t>출혈: 행동 시 피해 후 수치 감소</t>
        </is>
      </c>
      <c r="D38" s="5" t="inlineStr">
        <is>
          <t>Medium</t>
        </is>
      </c>
      <c r="E38" s="5" t="inlineStr">
        <is>
          <t>정상</t>
        </is>
      </c>
      <c r="F38" s="5" t="inlineStr">
        <is>
          <t>ST</t>
        </is>
      </c>
      <c r="G38" s="6" t="inlineStr">
        <is>
          <t>아군 유닛 출혈 수치 5</t>
        </is>
      </c>
      <c r="H38" s="6" t="inlineStr">
        <is>
          <t>1) 해당 유닛이 스킬 사용(행동)</t>
        </is>
      </c>
      <c r="I38" s="6" t="inlineStr">
        <is>
          <t>출혈 5</t>
        </is>
      </c>
      <c r="J38" s="6" t="inlineStr">
        <is>
          <t>[가정] 행동 시 5 피해, 이후 출혈 수치 4로 감소</t>
        </is>
      </c>
      <c r="K38" s="7" t="n"/>
      <c r="L38" s="8" t="inlineStr">
        <is>
          <t>Not Run</t>
        </is>
      </c>
      <c r="M38" s="7" t="n"/>
    </row>
    <row r="39" ht="60" customHeight="1" s="12">
      <c r="A39" s="5" t="inlineStr">
        <is>
          <t>TC-30</t>
        </is>
      </c>
      <c r="B39" s="5" t="inlineStr">
        <is>
          <t>상태이상</t>
        </is>
      </c>
      <c r="C39" s="6" t="inlineStr">
        <is>
          <t>화상: 턴 종료 시 피해</t>
        </is>
      </c>
      <c r="D39" s="5" t="inlineStr">
        <is>
          <t>Medium</t>
        </is>
      </c>
      <c r="E39" s="5" t="inlineStr">
        <is>
          <t>정상</t>
        </is>
      </c>
      <c r="F39" s="5" t="inlineStr">
        <is>
          <t>ST</t>
        </is>
      </c>
      <c r="G39" s="6" t="inlineStr">
        <is>
          <t>적 유닛 화상 수치 8</t>
        </is>
      </c>
      <c r="H39" s="6" t="inlineStr">
        <is>
          <t>1) 한 턴 종료</t>
        </is>
      </c>
      <c r="I39" s="6" t="inlineStr">
        <is>
          <t>화상 8</t>
        </is>
      </c>
      <c r="J39" s="6" t="inlineStr">
        <is>
          <t>[가정] 턴 종료 시 8 피해 적용</t>
        </is>
      </c>
      <c r="K39" s="7" t="n"/>
      <c r="L39" s="8" t="inlineStr">
        <is>
          <t>Not Run</t>
        </is>
      </c>
      <c r="M39" s="7" t="n"/>
    </row>
    <row r="40" ht="60" customHeight="1" s="12">
      <c r="A40" s="5" t="inlineStr">
        <is>
          <t>TC-31</t>
        </is>
      </c>
      <c r="B40" s="5" t="inlineStr">
        <is>
          <t>상태이상</t>
        </is>
      </c>
      <c r="C40" s="6" t="inlineStr">
        <is>
          <t>상태이상 수치 0이면 효과 종료</t>
        </is>
      </c>
      <c r="D40" s="5" t="inlineStr">
        <is>
          <t>Medium</t>
        </is>
      </c>
      <c r="E40" s="5" t="inlineStr">
        <is>
          <t>경계</t>
        </is>
      </c>
      <c r="F40" s="5" t="inlineStr">
        <is>
          <t>BVA</t>
        </is>
      </c>
      <c r="G40" s="6" t="inlineStr">
        <is>
          <t>유닛 출혈 수치 1</t>
        </is>
      </c>
      <c r="H40" s="6" t="inlineStr">
        <is>
          <t>1) 출혈 발동으로 수치 1→0
2) 다음 행동 확인</t>
        </is>
      </c>
      <c r="I40" s="6" t="inlineStr">
        <is>
          <t>출혈 1 → 0</t>
        </is>
      </c>
      <c r="J40" s="6" t="inlineStr">
        <is>
          <t>출혈 아이콘 제거, 이후 출혈 피해 없음</t>
        </is>
      </c>
      <c r="K40" s="7" t="n"/>
      <c r="L40" s="8" t="inlineStr">
        <is>
          <t>Not Run</t>
        </is>
      </c>
      <c r="M40" s="7" t="n"/>
    </row>
    <row r="41" ht="60" customHeight="1" s="12">
      <c r="A41" s="5" t="inlineStr">
        <is>
          <t>TC-32</t>
        </is>
      </c>
      <c r="B41" s="5" t="inlineStr">
        <is>
          <t>혼란/흐트러짐</t>
        </is>
      </c>
      <c r="C41" s="6" t="inlineStr">
        <is>
          <t>체력 혼란 임계선 도달 시 다음 턴 혼란</t>
        </is>
      </c>
      <c r="D41" s="5" t="inlineStr">
        <is>
          <t>High</t>
        </is>
      </c>
      <c r="E41" s="5" t="inlineStr">
        <is>
          <t>정상</t>
        </is>
      </c>
      <c r="F41" s="5" t="inlineStr">
        <is>
          <t>ST</t>
        </is>
      </c>
      <c r="G41" s="6" t="inlineStr">
        <is>
          <t>적 HP가 혼란 임계선 바로 위</t>
        </is>
      </c>
      <c r="H41" s="6" t="inlineStr">
        <is>
          <t>1) 임계선을 넘는 피해
2) 다음 턴 관찰</t>
        </is>
      </c>
      <c r="I41" s="6" t="inlineStr">
        <is>
          <t>임계 50%, 피해로 48%</t>
        </is>
      </c>
      <c r="J41" s="6" t="inlineStr">
        <is>
          <t>다음 턴 혼란 상태(행동 불가, 받는 피해 증가)</t>
        </is>
      </c>
      <c r="K41" s="7" t="n"/>
      <c r="L41" s="8" t="inlineStr">
        <is>
          <t>Not Run</t>
        </is>
      </c>
      <c r="M41" s="7" t="n"/>
    </row>
    <row r="42" ht="60" customHeight="1" s="12">
      <c r="A42" s="5" t="inlineStr">
        <is>
          <t>TC-33</t>
        </is>
      </c>
      <c r="B42" s="5" t="inlineStr">
        <is>
          <t>혼란/흐트러짐</t>
        </is>
      </c>
      <c r="C42" s="6" t="inlineStr">
        <is>
          <t>혼란 상태에서는 클래시 불가</t>
        </is>
      </c>
      <c r="D42" s="5" t="inlineStr">
        <is>
          <t>High</t>
        </is>
      </c>
      <c r="E42" s="5" t="inlineStr">
        <is>
          <t>정상</t>
        </is>
      </c>
      <c r="F42" s="5" t="inlineStr">
        <is>
          <t>DT</t>
        </is>
      </c>
      <c r="G42" s="6" t="inlineStr">
        <is>
          <t>대상이 혼란 상태</t>
        </is>
      </c>
      <c r="H42" s="6" t="inlineStr">
        <is>
          <t>1) 혼란된 대상에게 스킬 사용</t>
        </is>
      </c>
      <c r="I42" s="6" t="inlineStr">
        <is>
          <t>대상 혼란 ON</t>
        </is>
      </c>
      <c r="J42" s="6" t="inlineStr">
        <is>
          <t>클래시 없이 일방적으로 피격, 피해 증가 적용</t>
        </is>
      </c>
      <c r="K42" s="7" t="n"/>
      <c r="L42" s="8" t="inlineStr">
        <is>
          <t>Not Run</t>
        </is>
      </c>
      <c r="M42" s="7" t="n"/>
    </row>
    <row r="43" ht="60" customHeight="1" s="12">
      <c r="A43" s="5" t="inlineStr">
        <is>
          <t>TC-34</t>
        </is>
      </c>
      <c r="B43" s="5" t="inlineStr">
        <is>
          <t>혼란/흐트러짐</t>
        </is>
      </c>
      <c r="C43" s="6" t="inlineStr">
        <is>
          <t>혼란 회복 턴 경과 후 정상 복귀</t>
        </is>
      </c>
      <c r="D43" s="5" t="inlineStr">
        <is>
          <t>Medium</t>
        </is>
      </c>
      <c r="E43" s="5" t="inlineStr">
        <is>
          <t>정상</t>
        </is>
      </c>
      <c r="F43" s="5" t="inlineStr">
        <is>
          <t>ST</t>
        </is>
      </c>
      <c r="G43" s="6" t="inlineStr">
        <is>
          <t>유닛 혼란 상태, 회복까지 1턴</t>
        </is>
      </c>
      <c r="H43" s="6" t="inlineStr">
        <is>
          <t>1) 1턴 경과</t>
        </is>
      </c>
      <c r="I43" s="6" t="inlineStr">
        <is>
          <t>혼란 지속 1턴</t>
        </is>
      </c>
      <c r="J43" s="6" t="inlineStr">
        <is>
          <t>다음 턴부터 정상 행동 가능, 혼란 해제</t>
        </is>
      </c>
      <c r="K43" s="7" t="n"/>
      <c r="L43" s="8" t="inlineStr">
        <is>
          <t>Not Run</t>
        </is>
      </c>
      <c r="M43" s="7" t="n"/>
    </row>
    <row r="44" ht="60" customHeight="1" s="12">
      <c r="A44" s="5" t="inlineStr">
        <is>
          <t>TC-35</t>
        </is>
      </c>
      <c r="B44" s="5" t="inlineStr">
        <is>
          <t>혼란/흐트러짐</t>
        </is>
      </c>
      <c r="C44" s="6" t="inlineStr">
        <is>
          <t>SP -45 + 조건 충족 시 흐트러짐</t>
        </is>
      </c>
      <c r="D44" s="5" t="inlineStr">
        <is>
          <t>Medium</t>
        </is>
      </c>
      <c r="E44" s="5" t="inlineStr">
        <is>
          <t>예외</t>
        </is>
      </c>
      <c r="F44" s="5" t="inlineStr">
        <is>
          <t>ST</t>
        </is>
      </c>
      <c r="G44" s="6" t="inlineStr">
        <is>
          <t>유닛 SP -45, 흐트러짐 트리거 조건</t>
        </is>
      </c>
      <c r="H44" s="6" t="inlineStr">
        <is>
          <t>1) 트리거 조건 발생(예: 클래시 패배)</t>
        </is>
      </c>
      <c r="I44" s="6" t="inlineStr">
        <is>
          <t>SP -45</t>
        </is>
      </c>
      <c r="J44" s="6" t="inlineStr">
        <is>
          <t>[가정] 흐트러짐(패닉) 상태 진입, 통제 불가 행동/턴 손실</t>
        </is>
      </c>
      <c r="K44" s="7" t="n"/>
      <c r="L44" s="8" t="inlineStr">
        <is>
          <t>Not Run</t>
        </is>
      </c>
      <c r="M44" s="7" t="n"/>
    </row>
    <row r="45" ht="60" customHeight="1" s="12">
      <c r="A45" s="5" t="inlineStr">
        <is>
          <t>TC-36</t>
        </is>
      </c>
      <c r="B45" s="5" t="inlineStr">
        <is>
          <t>전투종료/보상</t>
        </is>
      </c>
      <c r="C45" s="6" t="inlineStr">
        <is>
          <t>출격 전원 전투 불능 시 패배</t>
        </is>
      </c>
      <c r="D45" s="5" t="inlineStr">
        <is>
          <t>High</t>
        </is>
      </c>
      <c r="E45" s="5" t="inlineStr">
        <is>
          <t>정상</t>
        </is>
      </c>
      <c r="F45" s="5" t="inlineStr">
        <is>
          <t>ST</t>
        </is>
      </c>
      <c r="G45" s="6" t="inlineStr">
        <is>
          <t>아군 마지막 1명 잔여 HP 소량</t>
        </is>
      </c>
      <c r="H45" s="6" t="inlineStr">
        <is>
          <t>1) 해당 유닛 전투 불능 발생</t>
        </is>
      </c>
      <c r="I45" s="6" t="inlineStr">
        <is>
          <t>생존 아군 0명</t>
        </is>
      </c>
      <c r="J45" s="6" t="inlineStr">
        <is>
          <t>전투 패배 처리, 스테이지 보상 미지급, 재도전/포기 선택</t>
        </is>
      </c>
      <c r="K45" s="7" t="n"/>
      <c r="L45" s="8" t="inlineStr">
        <is>
          <t>Not Run</t>
        </is>
      </c>
      <c r="M45" s="7" t="n"/>
    </row>
    <row r="46" ht="60" customHeight="1" s="12">
      <c r="A46" s="5" t="inlineStr">
        <is>
          <t>TC-37</t>
        </is>
      </c>
      <c r="B46" s="5" t="inlineStr">
        <is>
          <t>전투종료/보상</t>
        </is>
      </c>
      <c r="C46" s="6" t="inlineStr">
        <is>
          <t>승리 시 보상 지급 및 엔케팔린 소모 확정</t>
        </is>
      </c>
      <c r="D46" s="5" t="inlineStr">
        <is>
          <t>High</t>
        </is>
      </c>
      <c r="E46" s="5" t="inlineStr">
        <is>
          <t>정상</t>
        </is>
      </c>
      <c r="F46" s="5" t="inlineStr">
        <is>
          <t>EP</t>
        </is>
      </c>
      <c r="G46" s="6" t="inlineStr">
        <is>
          <t>클리어 직전, 요구 엔케팔린 사전 차감됨</t>
        </is>
      </c>
      <c r="H46" s="6" t="inlineStr">
        <is>
          <t>1) 전투 승리
2) 결과 화면 확인</t>
        </is>
      </c>
      <c r="I46" s="6" t="inlineStr">
        <is>
          <t>요구 엔케팔린 10</t>
        </is>
      </c>
      <c r="J46" s="6" t="inlineStr">
        <is>
          <t>경험치·재화·아이템 지급, 엔케팔린 10 환급 없음</t>
        </is>
      </c>
      <c r="K46" s="7" t="n"/>
      <c r="L46" s="8" t="inlineStr">
        <is>
          <t>Not Run</t>
        </is>
      </c>
      <c r="M46" s="7" t="n"/>
    </row>
    <row r="47" ht="60" customHeight="1" s="12">
      <c r="A47" s="5" t="inlineStr">
        <is>
          <t>TC-38</t>
        </is>
      </c>
      <c r="B47" s="5" t="inlineStr">
        <is>
          <t>거울 던전</t>
        </is>
      </c>
      <c r="C47" s="6" t="inlineStr">
        <is>
          <t>주간 보상 한도 소진 후 클리어</t>
        </is>
      </c>
      <c r="D47" s="5" t="inlineStr">
        <is>
          <t>Medium</t>
        </is>
      </c>
      <c r="E47" s="5" t="inlineStr">
        <is>
          <t>경계</t>
        </is>
      </c>
      <c r="F47" s="5" t="inlineStr">
        <is>
          <t>BVA</t>
        </is>
      </c>
      <c r="G47" s="6" t="inlineStr">
        <is>
          <t>거울 던전 주간 보상 한도 모두 수령함</t>
        </is>
      </c>
      <c r="H47" s="6" t="inlineStr">
        <is>
          <t>1) 거울 던전 1회 더 클리어</t>
        </is>
      </c>
      <c r="I47" s="6" t="inlineStr">
        <is>
          <t>주간 보상 3/3 수령</t>
        </is>
      </c>
      <c r="J47" s="6" t="inlineStr">
        <is>
          <t>클리어는 되나 추가 보상 미지급, 한도 안내 표시</t>
        </is>
      </c>
      <c r="K47" s="7" t="n"/>
      <c r="L47" s="8" t="inlineStr">
        <is>
          <t>Not Run</t>
        </is>
      </c>
      <c r="M47" s="7" t="n"/>
    </row>
    <row r="48" ht="60" customHeight="1" s="12">
      <c r="A48" s="5" t="inlineStr">
        <is>
          <t>TC-39</t>
        </is>
      </c>
      <c r="B48" s="5" t="inlineStr">
        <is>
          <t>거울 던전</t>
        </is>
      </c>
      <c r="C48" s="6" t="inlineStr">
        <is>
          <t>층 클리어 시 E.G.O 선물 후보 중 1개 선택</t>
        </is>
      </c>
      <c r="D48" s="5" t="inlineStr">
        <is>
          <t>Medium</t>
        </is>
      </c>
      <c r="E48" s="5" t="inlineStr">
        <is>
          <t>정상</t>
        </is>
      </c>
      <c r="F48" s="5" t="inlineStr">
        <is>
          <t>EP</t>
        </is>
      </c>
      <c r="G48" s="6" t="inlineStr">
        <is>
          <t>거울 던전 한 층 클리어</t>
        </is>
      </c>
      <c r="H48" s="6" t="inlineStr">
        <is>
          <t>1) 층 클리어
2) 선물 3개 중 1개 선택</t>
        </is>
      </c>
      <c r="I48" s="6" t="inlineStr">
        <is>
          <t>선물 후보 3개</t>
        </is>
      </c>
      <c r="J48" s="6" t="inlineStr">
        <is>
          <t>선택한 선물만 적용, 나머지 소멸, 다음 층 진행</t>
        </is>
      </c>
      <c r="K48" s="7" t="n"/>
      <c r="L48" s="8" t="inlineStr">
        <is>
          <t>Not Run</t>
        </is>
      </c>
      <c r="M48" s="7" t="n"/>
    </row>
    <row r="49" ht="60" customHeight="1" s="12">
      <c r="A49" s="5" t="inlineStr">
        <is>
          <t>TC-40</t>
        </is>
      </c>
      <c r="B49" s="5" t="inlineStr">
        <is>
          <t>상점/배틀패스</t>
        </is>
      </c>
      <c r="C49" s="6" t="inlineStr">
        <is>
          <t>일일 구매 한도 초과</t>
        </is>
      </c>
      <c r="D49" s="5" t="inlineStr">
        <is>
          <t>Medium</t>
        </is>
      </c>
      <c r="E49" s="5" t="inlineStr">
        <is>
          <t>경계</t>
        </is>
      </c>
      <c r="F49" s="5" t="inlineStr">
        <is>
          <t>BVA</t>
        </is>
      </c>
      <c r="G49" s="6" t="inlineStr">
        <is>
          <t>특정 품목 일일 한도 2/2 구매함</t>
        </is>
      </c>
      <c r="H49" s="6" t="inlineStr">
        <is>
          <t>1) 동일 품목 재구매 시도</t>
        </is>
      </c>
      <c r="I49" s="6" t="inlineStr">
        <is>
          <t>한도 2, 구매 2</t>
        </is>
      </c>
      <c r="J49" s="6" t="inlineStr">
        <is>
          <t>구매 불가, "일일 구매 한도 도달" 안내, 다음날 초기화</t>
        </is>
      </c>
      <c r="K49" s="7" t="n"/>
      <c r="L49" s="8" t="inlineStr">
        <is>
          <t>Not Run</t>
        </is>
      </c>
      <c r="M49" s="7" t="n"/>
    </row>
    <row r="50" ht="60" customHeight="1" s="12">
      <c r="A50" s="5" t="inlineStr">
        <is>
          <t>TC-41</t>
        </is>
      </c>
      <c r="B50" s="5" t="inlineStr">
        <is>
          <t>상점/배틀패스</t>
        </is>
      </c>
      <c r="C50" s="6" t="inlineStr">
        <is>
          <t>유료 재화 부족 시 유료 상품 구매 불가</t>
        </is>
      </c>
      <c r="D50" s="5" t="inlineStr">
        <is>
          <t>High</t>
        </is>
      </c>
      <c r="E50" s="5" t="inlineStr">
        <is>
          <t>예외</t>
        </is>
      </c>
      <c r="F50" s="5" t="inlineStr">
        <is>
          <t>EP</t>
        </is>
      </c>
      <c r="G50" s="6" t="inlineStr">
        <is>
          <t>유료 재화 보유 &lt; 상품 가격</t>
        </is>
      </c>
      <c r="H50" s="6" t="inlineStr">
        <is>
          <t>1) 유료 상품 구매 시도</t>
        </is>
      </c>
      <c r="I50" s="6" t="inlineStr">
        <is>
          <t>가격 100, 보유 40</t>
        </is>
      </c>
      <c r="J50" s="6" t="inlineStr">
        <is>
          <t>구매 불가, 충전 안내 (결제 자동 진행 안 됨)</t>
        </is>
      </c>
      <c r="K50" s="7" t="n"/>
      <c r="L50" s="8" t="inlineStr">
        <is>
          <t>Not Run</t>
        </is>
      </c>
      <c r="M50" s="7" t="n"/>
    </row>
    <row r="51" ht="60" customHeight="1" s="12">
      <c r="A51" s="5" t="inlineStr">
        <is>
          <t>TC-42</t>
        </is>
      </c>
      <c r="B51" s="5" t="inlineStr">
        <is>
          <t>설정/데이터</t>
        </is>
      </c>
      <c r="C51" s="6" t="inlineStr">
        <is>
          <t>서버 점검 중 접속 시도</t>
        </is>
      </c>
      <c r="D51" s="5" t="inlineStr">
        <is>
          <t>High</t>
        </is>
      </c>
      <c r="E51" s="5" t="inlineStr">
        <is>
          <t>예외</t>
        </is>
      </c>
      <c r="F51" s="5" t="inlineStr">
        <is>
          <t>EP</t>
        </is>
      </c>
      <c r="G51" s="6" t="inlineStr">
        <is>
          <t>서버 점검 시간대</t>
        </is>
      </c>
      <c r="H51" s="6" t="inlineStr">
        <is>
          <t>1) 앱 실행 후 로그인 시도</t>
        </is>
      </c>
      <c r="I51" s="6" t="inlineStr">
        <is>
          <t>점검 중</t>
        </is>
      </c>
      <c r="J51" s="6" t="inlineStr">
        <is>
          <t>로그인 차단, 점검 안내/종료 예정 시각 표시</t>
        </is>
      </c>
      <c r="K51" s="7" t="n"/>
      <c r="L51" s="8" t="inlineStr">
        <is>
          <t>Not Run</t>
        </is>
      </c>
      <c r="M51" s="7" t="n"/>
    </row>
    <row r="52" ht="60" customHeight="1" s="12">
      <c r="A52" s="5" t="inlineStr">
        <is>
          <t>TC-43</t>
        </is>
      </c>
      <c r="B52" s="5" t="inlineStr">
        <is>
          <t>설정/데이터</t>
        </is>
      </c>
      <c r="C52" s="6" t="inlineStr">
        <is>
          <t>언어 변경 즉시 반영</t>
        </is>
      </c>
      <c r="D52" s="5" t="inlineStr">
        <is>
          <t>Low</t>
        </is>
      </c>
      <c r="E52" s="5" t="inlineStr">
        <is>
          <t>정상</t>
        </is>
      </c>
      <c r="F52" s="5" t="inlineStr">
        <is>
          <t>EP</t>
        </is>
      </c>
      <c r="G52" s="6" t="inlineStr">
        <is>
          <t>현재 언어 = 한국어</t>
        </is>
      </c>
      <c r="H52" s="6" t="inlineStr">
        <is>
          <t>1) 설정에서 언어를 English로 변경
2) 적용</t>
        </is>
      </c>
      <c r="I52" s="6" t="inlineStr">
        <is>
          <t>KO → EN</t>
        </is>
      </c>
      <c r="J52" s="6" t="inlineStr">
        <is>
          <t>UI 텍스트가 영어로 전환(즉시 또는 재시작 후), 진행 데이터 유지</t>
        </is>
      </c>
      <c r="K52" s="7" t="n"/>
      <c r="L52" s="8" t="inlineStr">
        <is>
          <t>Not Run</t>
        </is>
      </c>
      <c r="M52" s="7" t="n"/>
    </row>
    <row r="53"/>
    <row r="54">
      <c r="A54" s="9" t="inlineStr">
        <is>
          <t>범례 / Legend</t>
        </is>
      </c>
    </row>
    <row r="55">
      <c r="A55" s="10" t="inlineStr">
        <is>
          <t>유형  —  정상: 정상 흐름 · 경계: 경계값 · 예외: 오류/거부 경로</t>
        </is>
      </c>
    </row>
    <row r="56">
      <c r="A56" s="10" t="inlineStr">
        <is>
          <t>기법  —  EP: 동등 분할 · BVA: 경계값 분석 · DT: 결정 테이블 · ST: 상태 전이</t>
        </is>
      </c>
    </row>
    <row r="57">
      <c r="A57" s="10" t="inlineStr">
        <is>
          <t>상태  —  Pass / Fail / Blocked / N/A / Not Run (드롭다운에서 선택)</t>
        </is>
      </c>
    </row>
    <row r="58">
      <c r="A58" s="10" t="inlineStr">
        <is>
          <t>노란색 셀(실제 결과·상태·비고)은 테스터가 실행 시 채우는 칸입니다.</t>
        </is>
      </c>
    </row>
    <row r="59">
      <c r="A59" s="10" t="inlineStr">
        <is>
          <t>[가정] 표기 = 공개 정보 기반 추정값. 실제 게임 밸런스와 다를 수 있으므로 실행 전 실제 스펙 확인 필요.</t>
        </is>
      </c>
    </row>
  </sheetData>
  <mergeCells count="6">
    <mergeCell ref="B3:D3"/>
    <mergeCell ref="B5:D5"/>
    <mergeCell ref="A1:M1"/>
    <mergeCell ref="B4:D4"/>
    <mergeCell ref="B6:D6"/>
    <mergeCell ref="B2:D2"/>
  </mergeCells>
  <conditionalFormatting sqref="L10:L52">
    <cfRule type="cellIs" priority="1" operator="equal" dxfId="4">
      <formula>"Pass"</formula>
    </cfRule>
    <cfRule type="cellIs" priority="2" operator="equal" dxfId="3">
      <formula>"Fail"</formula>
    </cfRule>
    <cfRule type="cellIs" priority="3" operator="equal" dxfId="2">
      <formula>"Blocked"</formula>
    </cfRule>
    <cfRule type="cellIs" priority="4" operator="equal" dxfId="1">
      <formula>"N/A"</formula>
    </cfRule>
    <cfRule type="cellIs" priority="5" operator="equal" dxfId="0">
      <formula>"Not Run"</formula>
    </cfRule>
  </conditionalFormatting>
  <dataValidations count="2">
    <dataValidation sqref="L10:L52" showDropDown="0" showInputMessage="0" showErrorMessage="0" allowBlank="1" errorTitle="잘못된 값" error="목록에서 선택하세요" type="list">
      <formula1>"Pass,Fail,Blocked,N/A,Not Run"</formula1>
    </dataValidation>
    <dataValidation sqref="D10:D52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2026-09-02T01:36:58Z</dcterms:created>
  <dcterms:modified xsi:type="dcterms:W3CDTF">2026-09-09T02:14:00Z</dcterms:modified>
  <cp:lastModifiedBy>YUHAN</cp:lastModifiedBy>
</cp:coreProperties>
</file>