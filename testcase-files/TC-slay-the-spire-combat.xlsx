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t Cases" sheetId="1" state="visible" r:id="rId1"/>
    <sheet name="Spec Issues" sheetId="2" state="visible" r:id="rId2"/>
  </sheets>
  <definedNames>
    <definedName name="_xlnm.Print_Titles" localSheetId="0">'Test Cases'!$9:$9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맑은 고딕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color rgb="FF404040"/>
      <sz val="9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D6E4E5"/>
      </patternFill>
    </fill>
    <fill>
      <patternFill patternType="solid">
        <fgColor rgb="FFEEF3F3"/>
      </patternFill>
    </fill>
    <fill>
      <patternFill patternType="solid">
        <fgColor rgb="FF2E6E7E"/>
      </patternFill>
    </fill>
    <fill>
      <patternFill patternType="solid">
        <fgColor rgb="FFFFF9E3"/>
      </patternFill>
    </fill>
    <fill>
      <patternFill patternType="solid">
        <fgColor rgb="FFFBECEC"/>
      </patternFill>
    </fill>
  </fills>
  <borders count="2">
    <border>
      <left/>
      <right/>
      <top/>
      <bottom/>
      <diagonal/>
    </border>
    <border>
      <left style="thin">
        <color rgb="FFB7C7C9"/>
      </left>
      <right style="thin">
        <color rgb="FFB7C7C9"/>
      </right>
      <top style="thin">
        <color rgb="FFB7C7C9"/>
      </top>
      <bottom style="thin">
        <color rgb="FFB7C7C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0" fontId="3" fillId="7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left" vertical="center"/>
    </xf>
  </cellXfs>
  <cellStyles count="1">
    <cellStyle name="표준" xfId="0" builtinId="0"/>
  </cellStyles>
  <dxfs count="5">
    <dxf>
      <font>
        <name val="Arial"/>
        <color rgb="FF7F7F7F"/>
        <sz val="10"/>
      </font>
      <fill>
        <patternFill patternType="solid">
          <fgColor rgb="FFF2F2F2"/>
        </patternFill>
      </fill>
    </dxf>
    <dxf>
      <font>
        <name val="Arial"/>
        <color rgb="FF595959"/>
        <sz val="10"/>
      </font>
      <fill>
        <patternFill patternType="solid">
          <fgColor rgb="FFD9D9D9"/>
        </patternFill>
      </fill>
    </dxf>
    <dxf>
      <font>
        <name val="Arial"/>
        <color rgb="FF9C6500"/>
        <sz val="10"/>
      </font>
      <fill>
        <patternFill patternType="solid">
          <fgColor rgb="FFFFEB9C"/>
        </patternFill>
      </fill>
    </dxf>
    <dxf>
      <font>
        <name val="Arial"/>
        <color rgb="FF9C0006"/>
        <sz val="10"/>
      </font>
      <fill>
        <patternFill patternType="solid">
          <f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showGridLines="0" tabSelected="1" workbookViewId="0">
      <pane ySplit="9" topLeftCell="A10" activePane="bottomLeft" state="frozen"/>
      <selection pane="bottomLeft" activeCell="A1" sqref="A1:M1"/>
    </sheetView>
  </sheetViews>
  <sheetFormatPr baseColWidth="8" defaultRowHeight="16.5"/>
  <cols>
    <col width="10" customWidth="1" style="13" min="1" max="1"/>
    <col width="13" customWidth="1" style="13" min="2" max="2"/>
    <col width="34" customWidth="1" style="13" min="3" max="3"/>
    <col width="9" customWidth="1" style="13" min="4" max="4"/>
    <col width="8" customWidth="1" style="13" min="5" max="6"/>
    <col width="26" customWidth="1" style="13" min="7" max="7"/>
    <col width="34" customWidth="1" style="13" min="8" max="8"/>
    <col width="30" customWidth="1" style="13" min="9" max="9"/>
    <col width="40" customWidth="1" style="13" min="10" max="10"/>
    <col width="18" customWidth="1" style="13" min="11" max="11"/>
    <col width="11" customWidth="1" style="13" min="12" max="12"/>
    <col width="22" customWidth="1" style="13" min="13" max="13"/>
  </cols>
  <sheetData>
    <row r="1" ht="26.1" customHeight="1" s="13">
      <c r="A1" s="14" t="inlineStr">
        <is>
          <t>테스트 케이스 명세서  |  Test Case Specification</t>
        </is>
      </c>
    </row>
    <row r="2">
      <c r="A2" s="1" t="inlineStr">
        <is>
          <t>프로젝트</t>
        </is>
      </c>
      <c r="B2" s="12" t="inlineStr">
        <is>
          <t>테스트 케이스 자동 생성 (Test Case Generator)</t>
        </is>
      </c>
      <c r="F2" s="1" t="inlineStr">
        <is>
          <t>Total</t>
        </is>
      </c>
      <c r="G2" s="2">
        <f>COUNTA(A10:A75)</f>
        <v/>
      </c>
      <c r="H2" s="1" t="inlineStr">
        <is>
          <t>Pass Rate</t>
        </is>
      </c>
      <c r="I2" s="15">
        <f>IFERROR(G3/(G3+G4+G5),0)</f>
        <v/>
      </c>
    </row>
    <row r="3">
      <c r="A3" s="1" t="inlineStr">
        <is>
          <t>모듈</t>
        </is>
      </c>
      <c r="B3" s="12" t="inlineStr">
        <is>
          <t>슬레이 더 스파이어 — 전투 시스템 (Deep)</t>
        </is>
      </c>
      <c r="F3" s="1" t="inlineStr">
        <is>
          <t>Pass</t>
        </is>
      </c>
      <c r="G3" s="2">
        <f>COUNTIF(L10:L75,"Pass")</f>
        <v/>
      </c>
      <c r="H3" s="1" t="inlineStr">
        <is>
          <t>실행 완료</t>
        </is>
      </c>
      <c r="I3" s="2">
        <f>G3+G4+G5</f>
        <v/>
      </c>
    </row>
    <row r="4">
      <c r="A4" s="1" t="inlineStr">
        <is>
          <t>작성자</t>
        </is>
      </c>
      <c r="B4" s="12" t="inlineStr">
        <is>
          <t>202127065</t>
        </is>
      </c>
      <c r="F4" s="1" t="inlineStr">
        <is>
          <t>Fail</t>
        </is>
      </c>
      <c r="G4" s="2">
        <f>COUNTIF(L10:L75,"Fail")</f>
        <v/>
      </c>
      <c r="H4" s="1" t="inlineStr">
        <is>
          <t>정상</t>
        </is>
      </c>
      <c r="I4" s="2">
        <f>COUNTIF(E10:E75,"정상")</f>
        <v/>
      </c>
    </row>
    <row r="5">
      <c r="A5" s="1" t="inlineStr">
        <is>
          <t>명세 파일</t>
        </is>
      </c>
      <c r="B5" s="12" t="inlineStr">
        <is>
          <t>input/spec_slay-the-spire-combat.md</t>
        </is>
      </c>
      <c r="F5" s="1" t="inlineStr">
        <is>
          <t>Blocked</t>
        </is>
      </c>
      <c r="G5" s="2">
        <f>COUNTIF(L10:L75,"Blocked")</f>
        <v/>
      </c>
      <c r="H5" s="1" t="inlineStr">
        <is>
          <t>경계</t>
        </is>
      </c>
      <c r="I5" s="2">
        <f>COUNTIF(E10:E75,"경계")</f>
        <v/>
      </c>
    </row>
    <row r="6">
      <c r="A6" s="1" t="inlineStr">
        <is>
          <t>작성일</t>
        </is>
      </c>
      <c r="B6" s="12" t="inlineStr">
        <is>
          <t>2026-09-02</t>
        </is>
      </c>
      <c r="F6" s="1" t="inlineStr">
        <is>
          <t>N/A</t>
        </is>
      </c>
      <c r="G6" s="2">
        <f>COUNTIF(L10:L75,"N/A")</f>
        <v/>
      </c>
      <c r="H6" s="1" t="inlineStr">
        <is>
          <t>예외</t>
        </is>
      </c>
      <c r="I6" s="2">
        <f>COUNTIF(E10:E75,"예외")</f>
        <v/>
      </c>
    </row>
    <row r="7">
      <c r="F7" s="1" t="inlineStr">
        <is>
          <t>Not Run</t>
        </is>
      </c>
      <c r="G7" s="2">
        <f>COUNTIF(L10:L75,"Not Run")</f>
        <v/>
      </c>
    </row>
    <row r="8"/>
    <row r="9" ht="20.1" customHeight="1" s="13">
      <c r="A9" s="4" t="inlineStr">
        <is>
          <t>TC ID</t>
        </is>
      </c>
      <c r="B9" s="4" t="inlineStr">
        <is>
          <t>대분류</t>
        </is>
      </c>
      <c r="C9" s="4" t="inlineStr">
        <is>
          <t>테스트 시나리오</t>
        </is>
      </c>
      <c r="D9" s="4" t="inlineStr">
        <is>
          <t>우선순위</t>
        </is>
      </c>
      <c r="E9" s="4" t="inlineStr">
        <is>
          <t>유형</t>
        </is>
      </c>
      <c r="F9" s="4" t="inlineStr">
        <is>
          <t>기법</t>
        </is>
      </c>
      <c r="G9" s="4" t="inlineStr">
        <is>
          <t>전제조건</t>
        </is>
      </c>
      <c r="H9" s="4" t="inlineStr">
        <is>
          <t>테스트 절차</t>
        </is>
      </c>
      <c r="I9" s="4" t="inlineStr">
        <is>
          <t>테스트 데이터 / 조건</t>
        </is>
      </c>
      <c r="J9" s="4" t="inlineStr">
        <is>
          <t>기대 결과</t>
        </is>
      </c>
      <c r="K9" s="4" t="inlineStr">
        <is>
          <t>실제 결과</t>
        </is>
      </c>
      <c r="L9" s="4" t="inlineStr">
        <is>
          <t>상태</t>
        </is>
      </c>
      <c r="M9" s="4" t="inlineStr">
        <is>
          <t>비고</t>
        </is>
      </c>
    </row>
    <row r="10" ht="66" customHeight="1" s="13">
      <c r="A10" s="5" t="inlineStr">
        <is>
          <t>TC-01</t>
        </is>
      </c>
      <c r="B10" s="5" t="inlineStr">
        <is>
          <t>턴 구조</t>
        </is>
      </c>
      <c r="C10" s="6" t="inlineStr">
        <is>
          <t>전투 시작 시 플레이어 선공</t>
        </is>
      </c>
      <c r="D10" s="5" t="inlineStr">
        <is>
          <t>Low</t>
        </is>
      </c>
      <c r="E10" s="5" t="inlineStr">
        <is>
          <t>정상</t>
        </is>
      </c>
      <c r="F10" s="5" t="inlineStr">
        <is>
          <t>EP</t>
        </is>
      </c>
      <c r="G10" s="6" t="inlineStr">
        <is>
          <t>기본 상태(에너지 3, 턴 시작 드로우 5, 물약 슬롯 3) 플레이어. 별도 명시 없으면 버프·디버프·방어도 없음.</t>
        </is>
      </c>
      <c r="H10" s="6" t="inlineStr">
        <is>
          <t>1) 조건 구성
2) 턴 진행
3) 결과 확인</t>
        </is>
      </c>
      <c r="I10" s="6" t="inlineStr">
        <is>
          <t>전투 진입 직후</t>
        </is>
      </c>
      <c r="J10" s="6" t="inlineStr">
        <is>
          <t>적이 먼저 행동하지 않고 플레이어 턴부터 시작</t>
        </is>
      </c>
      <c r="K10" s="7" t="n"/>
      <c r="L10" s="8" t="inlineStr">
        <is>
          <t>Not Run</t>
        </is>
      </c>
      <c r="M10" s="6" t="n"/>
    </row>
    <row r="11" ht="66" customHeight="1" s="13">
      <c r="A11" s="5" t="inlineStr">
        <is>
          <t>TC-02</t>
        </is>
      </c>
      <c r="B11" s="5" t="inlineStr">
        <is>
          <t>턴 구조</t>
        </is>
      </c>
      <c r="C11" s="6" t="inlineStr">
        <is>
          <t>턴 시작 시 에너지 3 회복 + 5장 드로우</t>
        </is>
      </c>
      <c r="D11" s="5" t="inlineStr">
        <is>
          <t>Low</t>
        </is>
      </c>
      <c r="E11" s="5" t="inlineStr">
        <is>
          <t>정상</t>
        </is>
      </c>
      <c r="F11" s="5" t="inlineStr">
        <is>
          <t>EP</t>
        </is>
      </c>
      <c r="G11" s="6" t="inlineStr">
        <is>
          <t>기본 상태(에너지 3, 턴 시작 드로우 5, 물약 슬롯 3) 플레이어. 별도 명시 없으면 버프·디버프·방어도 없음. 2턴차 시작 시점.</t>
        </is>
      </c>
      <c r="H11" s="6" t="inlineStr">
        <is>
          <t>1) 조건 구성
2) 턴 진행
3) 결과 확인</t>
        </is>
      </c>
      <c r="I11" s="6" t="inlineStr">
        <is>
          <t>직전 턴 종료, 덱에 카드 10장 이상</t>
        </is>
      </c>
      <c r="J11" s="6" t="inlineStr">
        <is>
          <t>턴 시작 시 에너지=3, 손패=5장</t>
        </is>
      </c>
      <c r="K11" s="7" t="n"/>
      <c r="L11" s="8" t="inlineStr">
        <is>
          <t>Not Run</t>
        </is>
      </c>
      <c r="M11" s="6" t="n"/>
    </row>
    <row r="12" ht="66" customHeight="1" s="13">
      <c r="A12" s="5" t="inlineStr">
        <is>
          <t>TC-03</t>
        </is>
      </c>
      <c r="B12" s="5" t="inlineStr">
        <is>
          <t>턴 구조</t>
        </is>
      </c>
      <c r="C12" s="6" t="inlineStr">
        <is>
          <t>플레이어 턴 → 적 턴 → 플레이어 턴 순환</t>
        </is>
      </c>
      <c r="D12" s="5" t="inlineStr">
        <is>
          <t>Low</t>
        </is>
      </c>
      <c r="E12" s="5" t="inlineStr">
        <is>
          <t>정상</t>
        </is>
      </c>
      <c r="F12" s="5" t="inlineStr">
        <is>
          <t>ST</t>
        </is>
      </c>
      <c r="G12" s="6" t="inlineStr">
        <is>
          <t>기본 상태(에너지 3, 턴 시작 드로우 5, 물약 슬롯 3) 플레이어. 별도 명시 없으면 버프·디버프·방어도 없음.</t>
        </is>
      </c>
      <c r="H12" s="6" t="inlineStr">
        <is>
          <t>1) 조건 구성
2) 턴 종료 실행
3) 다음 상태 확인</t>
        </is>
      </c>
      <c r="I12" s="6" t="inlineStr">
        <is>
          <t>턴 종료 실행</t>
        </is>
      </c>
      <c r="J12" s="6" t="inlineStr">
        <is>
          <t>적 턴이 의도대로 진행된 뒤 플레이어 턴으로 복귀, 에너지 3 재충전</t>
        </is>
      </c>
      <c r="K12" s="7" t="n"/>
      <c r="L12" s="8" t="inlineStr">
        <is>
          <t>Not Run</t>
        </is>
      </c>
      <c r="M12" s="6" t="n"/>
    </row>
    <row r="13" ht="66" customHeight="1" s="13">
      <c r="A13" s="5" t="inlineStr">
        <is>
          <t>TC-04</t>
        </is>
      </c>
      <c r="B13" s="5" t="inlineStr">
        <is>
          <t>턴 구조</t>
        </is>
      </c>
      <c r="C13" s="6" t="inlineStr">
        <is>
          <t>적 턴 도중 마지막 적 처치 → 즉시 승리</t>
        </is>
      </c>
      <c r="D13" s="5" t="inlineStr">
        <is>
          <t>Medium</t>
        </is>
      </c>
      <c r="E13" s="5" t="inlineStr">
        <is>
          <t>경계</t>
        </is>
      </c>
      <c r="F13" s="5" t="inlineStr">
        <is>
          <t>ST</t>
        </is>
      </c>
      <c r="G13" s="6" t="inlineStr">
        <is>
          <t>기본 상태(에너지 3, 턴 시작 드로우 5, 물약 슬롯 3) 플레이어. 별도 명시 없으면 버프·디버프·방어도 없음. 적 2체, 1체는 체력 소량.</t>
        </is>
      </c>
      <c r="H13" s="6" t="inlineStr">
        <is>
          <t>1) 조건 구성
2) 턴 진행
3) 결과 확인</t>
        </is>
      </c>
      <c r="I13" s="6" t="inlineStr">
        <is>
          <t>적 턴 중 반사 피해 등으로 마지막 적 체력 0</t>
        </is>
      </c>
      <c r="J13" s="6" t="inlineStr">
        <is>
          <t>적 턴 도중이라도 즉시 전투 승리, 남은 적 행동 취소</t>
        </is>
      </c>
      <c r="K13" s="7" t="n"/>
      <c r="L13" s="8" t="inlineStr">
        <is>
          <t>Not Run</t>
        </is>
      </c>
      <c r="M13" s="6" t="n"/>
    </row>
    <row r="14" ht="66" customHeight="1" s="13">
      <c r="A14" s="5" t="inlineStr">
        <is>
          <t>TC-05</t>
        </is>
      </c>
      <c r="B14" s="5" t="inlineStr">
        <is>
          <t>에너지</t>
        </is>
      </c>
      <c r="C14" s="6" t="inlineStr">
        <is>
          <t>비용 2 카드 / 에너지 3 → 사용 가능</t>
        </is>
      </c>
      <c r="D14" s="5" t="inlineStr">
        <is>
          <t>Low</t>
        </is>
      </c>
      <c r="E14" s="5" t="inlineStr">
        <is>
          <t>정상</t>
        </is>
      </c>
      <c r="F14" s="5" t="inlineStr">
        <is>
          <t>EP</t>
        </is>
      </c>
      <c r="G14" s="6" t="inlineStr">
        <is>
          <t>기본 상태(에너지 3, 턴 시작 드로우 5, 물약 슬롯 3) 플레이어. 별도 명시 없으면 버프·디버프·방어도 없음.</t>
        </is>
      </c>
      <c r="H14" s="6" t="inlineStr">
        <is>
          <t>1) 플레이어 턴
2) 지정 카드를 대상에게 사용
3) 에너지·피해·상태 확인</t>
        </is>
      </c>
      <c r="I14" s="6" t="inlineStr">
        <is>
          <t>카드 비용 2, 보유 에너지 3</t>
        </is>
      </c>
      <c r="J14" s="6" t="inlineStr">
        <is>
          <t>카드 사용됨, 잔여 에너지 1</t>
        </is>
      </c>
      <c r="K14" s="7" t="n"/>
      <c r="L14" s="8" t="inlineStr">
        <is>
          <t>Not Run</t>
        </is>
      </c>
      <c r="M14" s="6" t="n"/>
    </row>
    <row r="15" ht="66" customHeight="1" s="13">
      <c r="A15" s="5" t="inlineStr">
        <is>
          <t>TC-06</t>
        </is>
      </c>
      <c r="B15" s="5" t="inlineStr">
        <is>
          <t>에너지</t>
        </is>
      </c>
      <c r="C15" s="6" t="inlineStr">
        <is>
          <t>비용 0 카드 / 에너지 0 → 사용 가능</t>
        </is>
      </c>
      <c r="D15" s="5" t="inlineStr">
        <is>
          <t>Medium</t>
        </is>
      </c>
      <c r="E15" s="5" t="inlineStr">
        <is>
          <t>경계</t>
        </is>
      </c>
      <c r="F15" s="5" t="inlineStr">
        <is>
          <t>BVA</t>
        </is>
      </c>
      <c r="G15" s="6" t="inlineStr">
        <is>
          <t>기본 상태(에너지 3, 턴 시작 드로우 5, 물약 슬롯 3) 플레이어. 별도 명시 없으면 버프·디버프·방어도 없음.</t>
        </is>
      </c>
      <c r="H15" s="6" t="inlineStr">
        <is>
          <t>1) 플레이어 턴
2) 지정 카드를 대상에게 사용
3) 에너지·피해·상태 확인</t>
        </is>
      </c>
      <c r="I15" s="6" t="inlineStr">
        <is>
          <t>카드 비용 0, 보유 에너지 0</t>
        </is>
      </c>
      <c r="J15" s="6" t="inlineStr">
        <is>
          <t>카드 사용됨 (에너지 소모 없음)</t>
        </is>
      </c>
      <c r="K15" s="7" t="n"/>
      <c r="L15" s="8" t="inlineStr">
        <is>
          <t>Not Run</t>
        </is>
      </c>
      <c r="M15" s="6" t="inlineStr">
        <is>
          <t>하한 경계</t>
        </is>
      </c>
    </row>
    <row r="16" ht="66" customHeight="1" s="13">
      <c r="A16" s="5" t="inlineStr">
        <is>
          <t>TC-07</t>
        </is>
      </c>
      <c r="B16" s="5" t="inlineStr">
        <is>
          <t>에너지</t>
        </is>
      </c>
      <c r="C16" s="6" t="inlineStr">
        <is>
          <t>비용 = 보유 에너지 (3 = 3)</t>
        </is>
      </c>
      <c r="D16" s="5" t="inlineStr">
        <is>
          <t>Medium</t>
        </is>
      </c>
      <c r="E16" s="5" t="inlineStr">
        <is>
          <t>경계</t>
        </is>
      </c>
      <c r="F16" s="5" t="inlineStr">
        <is>
          <t>BVA</t>
        </is>
      </c>
      <c r="G16" s="6" t="inlineStr">
        <is>
          <t>기본 상태(에너지 3, 턴 시작 드로우 5, 물약 슬롯 3) 플레이어. 별도 명시 없으면 버프·디버프·방어도 없음.</t>
        </is>
      </c>
      <c r="H16" s="6" t="inlineStr">
        <is>
          <t>1) 플레이어 턴
2) 지정 카드를 대상에게 사용
3) 에너지·피해·상태 확인</t>
        </is>
      </c>
      <c r="I16" s="6" t="inlineStr">
        <is>
          <t>카드 비용 3, 보유 에너지 3</t>
        </is>
      </c>
      <c r="J16" s="6" t="inlineStr">
        <is>
          <t>카드 사용됨, 잔여 에너지 0</t>
        </is>
      </c>
      <c r="K16" s="7" t="n"/>
      <c r="L16" s="8" t="inlineStr">
        <is>
          <t>Not Run</t>
        </is>
      </c>
      <c r="M16" s="6" t="inlineStr">
        <is>
          <t>상한 경계</t>
        </is>
      </c>
    </row>
    <row r="17" ht="66" customHeight="1" s="13">
      <c r="A17" s="5" t="inlineStr">
        <is>
          <t>TC-08</t>
        </is>
      </c>
      <c r="B17" s="5" t="inlineStr">
        <is>
          <t>에너지</t>
        </is>
      </c>
      <c r="C17" s="6" t="inlineStr">
        <is>
          <t>비용 = 보유 에너지 + 1 (3, 에너지 2)</t>
        </is>
      </c>
      <c r="D17" s="5" t="inlineStr">
        <is>
          <t>Medium</t>
        </is>
      </c>
      <c r="E17" s="5" t="inlineStr">
        <is>
          <t>경계</t>
        </is>
      </c>
      <c r="F17" s="5" t="inlineStr">
        <is>
          <t>BVA</t>
        </is>
      </c>
      <c r="G17" s="6" t="inlineStr">
        <is>
          <t>기본 상태(에너지 3, 턴 시작 드로우 5, 물약 슬롯 3) 플레이어. 별도 명시 없으면 버프·디버프·방어도 없음.</t>
        </is>
      </c>
      <c r="H17" s="6" t="inlineStr">
        <is>
          <t>1) 플레이어 턴
2) 지정 카드를 대상에게 사용
3) 에너지·피해·상태 확인</t>
        </is>
      </c>
      <c r="I17" s="6" t="inlineStr">
        <is>
          <t>카드 비용 3, 보유 에너지 2</t>
        </is>
      </c>
      <c r="J17" s="6" t="inlineStr">
        <is>
          <t>카드 사용 불가 (비활성)</t>
        </is>
      </c>
      <c r="K17" s="7" t="n"/>
      <c r="L17" s="8" t="inlineStr">
        <is>
          <t>Not Run</t>
        </is>
      </c>
      <c r="M17" s="6" t="inlineStr">
        <is>
          <t>상한+1</t>
        </is>
      </c>
    </row>
    <row r="18" ht="66" customHeight="1" s="13">
      <c r="A18" s="5" t="inlineStr">
        <is>
          <t>TC-09</t>
        </is>
      </c>
      <c r="B18" s="5" t="inlineStr">
        <is>
          <t>에너지</t>
        </is>
      </c>
      <c r="C18" s="6" t="inlineStr">
        <is>
          <t>에너지 0에서 비용 1 카드 플레이 시도</t>
        </is>
      </c>
      <c r="D18" s="5" t="inlineStr">
        <is>
          <t>High</t>
        </is>
      </c>
      <c r="E18" s="5" t="inlineStr">
        <is>
          <t>예외</t>
        </is>
      </c>
      <c r="F18" s="5" t="inlineStr">
        <is>
          <t>EP</t>
        </is>
      </c>
      <c r="G18" s="6" t="inlineStr">
        <is>
          <t>기본 상태(에너지 3, 턴 시작 드로우 5, 물약 슬롯 3) 플레이어. 별도 명시 없으면 버프·디버프·방어도 없음.</t>
        </is>
      </c>
      <c r="H18" s="6" t="inlineStr">
        <is>
          <t>1) 플레이어 턴
2) 지정 카드를 대상에게 사용
3) 에너지·피해·상태 확인</t>
        </is>
      </c>
      <c r="I18" s="6" t="inlineStr">
        <is>
          <t>카드 비용 1, 보유 에너지 0</t>
        </is>
      </c>
      <c r="J18" s="6" t="inlineStr">
        <is>
          <t>플레이 무효, 에너지·손패 불변</t>
        </is>
      </c>
      <c r="K18" s="7" t="n"/>
      <c r="L18" s="8" t="inlineStr">
        <is>
          <t>Not Run</t>
        </is>
      </c>
      <c r="M18" s="6" t="n"/>
    </row>
    <row r="19" ht="66" customHeight="1" s="13">
      <c r="A19" s="5" t="inlineStr">
        <is>
          <t>TC-10</t>
        </is>
      </c>
      <c r="B19" s="5" t="inlineStr">
        <is>
          <t>에너지</t>
        </is>
      </c>
      <c r="C19" s="6" t="inlineStr">
        <is>
          <t>X 비용 카드 / 에너지 3 → X=3</t>
        </is>
      </c>
      <c r="D19" s="5" t="inlineStr">
        <is>
          <t>Low</t>
        </is>
      </c>
      <c r="E19" s="5" t="inlineStr">
        <is>
          <t>정상</t>
        </is>
      </c>
      <c r="F19" s="5" t="inlineStr">
        <is>
          <t>EP</t>
        </is>
      </c>
      <c r="G19" s="6" t="inlineStr">
        <is>
          <t>기본 상태(에너지 3, 턴 시작 드로우 5, 물약 슬롯 3) 플레이어. 별도 명시 없으면 버프·디버프·방어도 없음.</t>
        </is>
      </c>
      <c r="H19" s="6" t="inlineStr">
        <is>
          <t>1) 플레이어 턴
2) 지정 카드를 대상에게 사용
3) 에너지·피해·상태 확인</t>
        </is>
      </c>
      <c r="I19" s="6" t="inlineStr">
        <is>
          <t>X 비용 카드, 보유 에너지 3</t>
        </is>
      </c>
      <c r="J19" s="6" t="inlineStr">
        <is>
          <t>X=3으로 발동, 잔여 에너지 0</t>
        </is>
      </c>
      <c r="K19" s="7" t="n"/>
      <c r="L19" s="8" t="inlineStr">
        <is>
          <t>Not Run</t>
        </is>
      </c>
      <c r="M19" s="6" t="n"/>
    </row>
    <row r="20" ht="66" customHeight="1" s="13">
      <c r="A20" s="5" t="inlineStr">
        <is>
          <t>TC-11</t>
        </is>
      </c>
      <c r="B20" s="5" t="inlineStr">
        <is>
          <t>에너지</t>
        </is>
      </c>
      <c r="C20" s="6" t="inlineStr">
        <is>
          <t>X 비용 카드 / 에너지 0 → X=0</t>
        </is>
      </c>
      <c r="D20" s="5" t="inlineStr">
        <is>
          <t>Medium</t>
        </is>
      </c>
      <c r="E20" s="5" t="inlineStr">
        <is>
          <t>경계</t>
        </is>
      </c>
      <c r="F20" s="5" t="inlineStr">
        <is>
          <t>BVA</t>
        </is>
      </c>
      <c r="G20" s="6" t="inlineStr">
        <is>
          <t>기본 상태(에너지 3, 턴 시작 드로우 5, 물약 슬롯 3) 플레이어. 별도 명시 없으면 버프·디버프·방어도 없음.</t>
        </is>
      </c>
      <c r="H20" s="6" t="inlineStr">
        <is>
          <t>1) 플레이어 턴
2) 지정 카드를 대상에게 사용
3) 에너지·피해·상태 확인</t>
        </is>
      </c>
      <c r="I20" s="6" t="inlineStr">
        <is>
          <t>X 비용 카드, 보유 에너지 0</t>
        </is>
      </c>
      <c r="J20" s="6" t="inlineStr">
        <is>
          <t>X=0으로 발동 (효과 0회), 카드 사용 처리</t>
        </is>
      </c>
      <c r="K20" s="7" t="n"/>
      <c r="L20" s="8" t="inlineStr">
        <is>
          <t>Not Run</t>
        </is>
      </c>
      <c r="M20" s="6" t="inlineStr">
        <is>
          <t>하한 경계</t>
        </is>
      </c>
    </row>
    <row r="21" ht="66" customHeight="1" s="13">
      <c r="A21" s="5" t="inlineStr">
        <is>
          <t>TC-12</t>
        </is>
      </c>
      <c r="B21" s="5" t="inlineStr">
        <is>
          <t>에너지</t>
        </is>
      </c>
      <c r="C21" s="6" t="inlineStr">
        <is>
          <t>잔여 에너지 이월 안 됨</t>
        </is>
      </c>
      <c r="D21" s="5" t="inlineStr">
        <is>
          <t>Low</t>
        </is>
      </c>
      <c r="E21" s="5" t="inlineStr">
        <is>
          <t>정상</t>
        </is>
      </c>
      <c r="F21" s="5" t="inlineStr">
        <is>
          <t>ST</t>
        </is>
      </c>
      <c r="G21" s="6" t="inlineStr">
        <is>
          <t>기본 상태(에너지 3, 턴 시작 드로우 5, 물약 슬롯 3) 플레이어. 별도 명시 없으면 버프·디버프·방어도 없음.</t>
        </is>
      </c>
      <c r="H21" s="6" t="inlineStr">
        <is>
          <t>1) 조건 구성
2) 턴 종료 실행
3) 다음 상태 확인</t>
        </is>
      </c>
      <c r="I21" s="6" t="inlineStr">
        <is>
          <t>턴 종료 시 잔여 에너지 2</t>
        </is>
      </c>
      <c r="J21" s="6" t="inlineStr">
        <is>
          <t>다음 턴 시작 시 에너지 3으로 초기화 (5 아님)</t>
        </is>
      </c>
      <c r="K21" s="7" t="n"/>
      <c r="L21" s="8" t="inlineStr">
        <is>
          <t>Not Run</t>
        </is>
      </c>
      <c r="M21" s="6" t="n"/>
    </row>
    <row r="22" ht="66" customHeight="1" s="13">
      <c r="A22" s="5" t="inlineStr">
        <is>
          <t>TC-13</t>
        </is>
      </c>
      <c r="B22" s="5" t="inlineStr">
        <is>
          <t>손패·파일</t>
        </is>
      </c>
      <c r="C22" s="6" t="inlineStr">
        <is>
          <t>드로우 더미 10장에서 5장 드로우</t>
        </is>
      </c>
      <c r="D22" s="5" t="inlineStr">
        <is>
          <t>Low</t>
        </is>
      </c>
      <c r="E22" s="5" t="inlineStr">
        <is>
          <t>정상</t>
        </is>
      </c>
      <c r="F22" s="5" t="inlineStr">
        <is>
          <t>EP</t>
        </is>
      </c>
      <c r="G22" s="6" t="inlineStr">
        <is>
          <t>기본 상태(에너지 3, 턴 시작 드로우 5, 물약 슬롯 3) 플레이어. 별도 명시 없으면 버프·디버프·방어도 없음.</t>
        </is>
      </c>
      <c r="H22" s="6" t="inlineStr">
        <is>
          <t>1) 조건 구성
2) 턴 진행
3) 결과 확인</t>
        </is>
      </c>
      <c r="I22" s="6" t="inlineStr">
        <is>
          <t>드로우 더미 10, 손패 0</t>
        </is>
      </c>
      <c r="J22" s="6" t="inlineStr">
        <is>
          <t>손패 5, 드로우 더미 5</t>
        </is>
      </c>
      <c r="K22" s="7" t="n"/>
      <c r="L22" s="8" t="inlineStr">
        <is>
          <t>Not Run</t>
        </is>
      </c>
      <c r="M22" s="6" t="n"/>
    </row>
    <row r="23" ht="66" customHeight="1" s="13">
      <c r="A23" s="5" t="inlineStr">
        <is>
          <t>TC-14</t>
        </is>
      </c>
      <c r="B23" s="5" t="inlineStr">
        <is>
          <t>손패·파일</t>
        </is>
      </c>
      <c r="C23" s="6" t="inlineStr">
        <is>
          <t>손패 9장에서 1장 드로우 → 10 (상한)</t>
        </is>
      </c>
      <c r="D23" s="5" t="inlineStr">
        <is>
          <t>Medium</t>
        </is>
      </c>
      <c r="E23" s="5" t="inlineStr">
        <is>
          <t>경계</t>
        </is>
      </c>
      <c r="F23" s="5" t="inlineStr">
        <is>
          <t>BVA</t>
        </is>
      </c>
      <c r="G23" s="6" t="inlineStr">
        <is>
          <t>기본 상태(에너지 3, 턴 시작 드로우 5, 물약 슬롯 3) 플레이어. 별도 명시 없으면 버프·디버프·방어도 없음.</t>
        </is>
      </c>
      <c r="H23" s="6" t="inlineStr">
        <is>
          <t>1) 조건 구성
2) 턴 진행
3) 결과 확인</t>
        </is>
      </c>
      <c r="I23" s="6" t="inlineStr">
        <is>
          <t>손패 9, 드로우 1회</t>
        </is>
      </c>
      <c r="J23" s="6" t="inlineStr">
        <is>
          <t>손패 10</t>
        </is>
      </c>
      <c r="K23" s="7" t="n"/>
      <c r="L23" s="8" t="inlineStr">
        <is>
          <t>Not Run</t>
        </is>
      </c>
      <c r="M23" s="6" t="inlineStr">
        <is>
          <t>상한 도달</t>
        </is>
      </c>
    </row>
    <row r="24" ht="66" customHeight="1" s="13">
      <c r="A24" s="5" t="inlineStr">
        <is>
          <t>TC-15</t>
        </is>
      </c>
      <c r="B24" s="5" t="inlineStr">
        <is>
          <t>손패·파일</t>
        </is>
      </c>
      <c r="C24" s="6" t="inlineStr">
        <is>
          <t>손패 10장에서 추가 드로우</t>
        </is>
      </c>
      <c r="D24" s="5" t="inlineStr">
        <is>
          <t>Medium</t>
        </is>
      </c>
      <c r="E24" s="5" t="inlineStr">
        <is>
          <t>경계</t>
        </is>
      </c>
      <c r="F24" s="5" t="inlineStr">
        <is>
          <t>BVA</t>
        </is>
      </c>
      <c r="G24" s="6" t="inlineStr">
        <is>
          <t>기본 상태(에너지 3, 턴 시작 드로우 5, 물약 슬롯 3) 플레이어. 별도 명시 없으면 버프·디버프·방어도 없음.</t>
        </is>
      </c>
      <c r="H24" s="6" t="inlineStr">
        <is>
          <t>1) 조건 구성
2) 턴 진행
3) 결과 확인</t>
        </is>
      </c>
      <c r="I24" s="6" t="inlineStr">
        <is>
          <t>손패 10, 추가 드로우 1회</t>
        </is>
      </c>
      <c r="J24" s="6" t="inlineStr">
        <is>
          <t>드로우 취소, 카드는 드로우 더미에 유지, 손패 10</t>
        </is>
      </c>
      <c r="K24" s="7" t="n"/>
      <c r="L24" s="8" t="inlineStr">
        <is>
          <t>Not Run</t>
        </is>
      </c>
      <c r="M24" s="6" t="inlineStr">
        <is>
          <t>[가정] 상한+1 · 명세 §3</t>
        </is>
      </c>
    </row>
    <row r="25" ht="66" customHeight="1" s="13">
      <c r="A25" s="5" t="inlineStr">
        <is>
          <t>TC-16</t>
        </is>
      </c>
      <c r="B25" s="5" t="inlineStr">
        <is>
          <t>손패·파일</t>
        </is>
      </c>
      <c r="C25" s="6" t="inlineStr">
        <is>
          <t>드로우 더미 소진 시 버린 더미 셔플</t>
        </is>
      </c>
      <c r="D25" s="5" t="inlineStr">
        <is>
          <t>Low</t>
        </is>
      </c>
      <c r="E25" s="5" t="inlineStr">
        <is>
          <t>정상</t>
        </is>
      </c>
      <c r="F25" s="5" t="inlineStr">
        <is>
          <t>ST</t>
        </is>
      </c>
      <c r="G25" s="6" t="inlineStr">
        <is>
          <t>기본 상태(에너지 3, 턴 시작 드로우 5, 물약 슬롯 3) 플레이어. 별도 명시 없으면 버프·디버프·방어도 없음.</t>
        </is>
      </c>
      <c r="H25" s="6" t="inlineStr">
        <is>
          <t>1) 조건 구성
2) 턴 진행
3) 결과 확인</t>
        </is>
      </c>
      <c r="I25" s="6" t="inlineStr">
        <is>
          <t>드로우 더미 3, 버린 더미 7, 5장 요구</t>
        </is>
      </c>
      <c r="J25" s="6" t="inlineStr">
        <is>
          <t>3장 뽑고 버린 더미 셔플 후 2장 더 → 총 5장</t>
        </is>
      </c>
      <c r="K25" s="7" t="n"/>
      <c r="L25" s="8" t="inlineStr">
        <is>
          <t>Not Run</t>
        </is>
      </c>
      <c r="M25" s="6" t="n"/>
    </row>
    <row r="26" ht="66" customHeight="1" s="13">
      <c r="A26" s="5" t="inlineStr">
        <is>
          <t>TC-17</t>
        </is>
      </c>
      <c r="B26" s="5" t="inlineStr">
        <is>
          <t>손패·파일</t>
        </is>
      </c>
      <c r="C26" s="6" t="inlineStr">
        <is>
          <t>드로우·버린 더미 모두 빔 / 드로우 요구</t>
        </is>
      </c>
      <c r="D26" s="5" t="inlineStr">
        <is>
          <t>High</t>
        </is>
      </c>
      <c r="E26" s="5" t="inlineStr">
        <is>
          <t>예외</t>
        </is>
      </c>
      <c r="F26" s="5" t="inlineStr">
        <is>
          <t>EP</t>
        </is>
      </c>
      <c r="G26" s="6" t="inlineStr">
        <is>
          <t>기본 상태(에너지 3, 턴 시작 드로우 5, 물약 슬롯 3) 플레이어. 별도 명시 없으면 버프·디버프·방어도 없음.</t>
        </is>
      </c>
      <c r="H26" s="6" t="inlineStr">
        <is>
          <t>1) 조건 구성
2) 턴 진행
3) 결과 확인</t>
        </is>
      </c>
      <c r="I26" s="6" t="inlineStr">
        <is>
          <t>드로우 더미 0, 버린 더미 0, 드로우 요구</t>
        </is>
      </c>
      <c r="J26" s="6" t="inlineStr">
        <is>
          <t>추가로 뽑히는 카드 0장, 오류 없이 진행</t>
        </is>
      </c>
      <c r="K26" s="7" t="n"/>
      <c r="L26" s="8" t="inlineStr">
        <is>
          <t>Not Run</t>
        </is>
      </c>
      <c r="M26" s="6" t="n"/>
    </row>
    <row r="27" ht="66" customHeight="1" s="13">
      <c r="A27" s="5" t="inlineStr">
        <is>
          <t>TC-18</t>
        </is>
      </c>
      <c r="B27" s="5" t="inlineStr">
        <is>
          <t>손패·파일</t>
        </is>
      </c>
      <c r="C27" s="6" t="inlineStr">
        <is>
          <t>소멸된 카드는 이후 셔플에 미포함</t>
        </is>
      </c>
      <c r="D27" s="5" t="inlineStr">
        <is>
          <t>Low</t>
        </is>
      </c>
      <c r="E27" s="5" t="inlineStr">
        <is>
          <t>정상</t>
        </is>
      </c>
      <c r="F27" s="5" t="inlineStr">
        <is>
          <t>EP</t>
        </is>
      </c>
      <c r="G27" s="6" t="inlineStr">
        <is>
          <t>기본 상태(에너지 3, 턴 시작 드로우 5, 물약 슬롯 3) 플레이어. 별도 명시 없으면 버프·디버프·방어도 없음.</t>
        </is>
      </c>
      <c r="H27" s="6" t="inlineStr">
        <is>
          <t>1) 조건 구성
2) 턴 진행
3) 결과 확인</t>
        </is>
      </c>
      <c r="I27" s="6" t="inlineStr">
        <is>
          <t>카드 1장 소멸됨, 드로우 더미 재구성 발생</t>
        </is>
      </c>
      <c r="J27" s="6" t="inlineStr">
        <is>
          <t>소멸 카드는 드로우 더미로 돌아오지 않음</t>
        </is>
      </c>
      <c r="K27" s="7" t="n"/>
      <c r="L27" s="8" t="inlineStr">
        <is>
          <t>Not Run</t>
        </is>
      </c>
      <c r="M27" s="6" t="n"/>
    </row>
    <row r="28" ht="66" customHeight="1" s="13">
      <c r="A28" s="5" t="inlineStr">
        <is>
          <t>TC-19</t>
        </is>
      </c>
      <c r="B28" s="5" t="inlineStr">
        <is>
          <t>카드 플레이</t>
        </is>
      </c>
      <c r="C28" s="6" t="inlineStr">
        <is>
          <t>공격 카드 사용 → 피해 후 버린 더미로</t>
        </is>
      </c>
      <c r="D28" s="5" t="inlineStr">
        <is>
          <t>Low</t>
        </is>
      </c>
      <c r="E28" s="5" t="inlineStr">
        <is>
          <t>정상</t>
        </is>
      </c>
      <c r="F28" s="5" t="inlineStr">
        <is>
          <t>EP</t>
        </is>
      </c>
      <c r="G28" s="6" t="inlineStr">
        <is>
          <t>기본 상태(에너지 3, 턴 시작 드로우 5, 물약 슬롯 3) 플레이어. 별도 명시 없으면 버프·디버프·방어도 없음.</t>
        </is>
      </c>
      <c r="H28" s="6" t="inlineStr">
        <is>
          <t>1) 플레이어 턴
2) 지정 카드를 대상에게 사용
3) 에너지·피해·상태 확인</t>
        </is>
      </c>
      <c r="I28" s="6" t="inlineStr">
        <is>
          <t>공격 카드 1장</t>
        </is>
      </c>
      <c r="J28" s="6" t="inlineStr">
        <is>
          <t>피해 적용, 카드는 버린 더미로 이동</t>
        </is>
      </c>
      <c r="K28" s="7" t="n"/>
      <c r="L28" s="8" t="inlineStr">
        <is>
          <t>Not Run</t>
        </is>
      </c>
      <c r="M28" s="6" t="n"/>
    </row>
    <row r="29" ht="66" customHeight="1" s="13">
      <c r="A29" s="5" t="inlineStr">
        <is>
          <t>TC-20</t>
        </is>
      </c>
      <c r="B29" s="5" t="inlineStr">
        <is>
          <t>카드 플레이</t>
        </is>
      </c>
      <c r="C29" s="6" t="inlineStr">
        <is>
          <t>파워 카드 사용 → 지속 효과</t>
        </is>
      </c>
      <c r="D29" s="5" t="inlineStr">
        <is>
          <t>Low</t>
        </is>
      </c>
      <c r="E29" s="5" t="inlineStr">
        <is>
          <t>정상</t>
        </is>
      </c>
      <c r="F29" s="5" t="inlineStr">
        <is>
          <t>EP</t>
        </is>
      </c>
      <c r="G29" s="6" t="inlineStr">
        <is>
          <t>기본 상태(에너지 3, 턴 시작 드로우 5, 물약 슬롯 3) 플레이어. 별도 명시 없으면 버프·디버프·방어도 없음.</t>
        </is>
      </c>
      <c r="H29" s="6" t="inlineStr">
        <is>
          <t>1) 플레이어 턴
2) 지정 카드를 대상에게 사용
3) 에너지·피해·상태 확인</t>
        </is>
      </c>
      <c r="I29" s="6" t="inlineStr">
        <is>
          <t>파워 카드 1장</t>
        </is>
      </c>
      <c r="J29" s="6" t="inlineStr">
        <is>
          <t>지속 효과 적용, 카드는 버림·소멸되지 않음</t>
        </is>
      </c>
      <c r="K29" s="7" t="n"/>
      <c r="L29" s="8" t="inlineStr">
        <is>
          <t>Not Run</t>
        </is>
      </c>
      <c r="M29" s="6" t="n"/>
    </row>
    <row r="30" ht="66" customHeight="1" s="13">
      <c r="A30" s="5" t="inlineStr">
        <is>
          <t>TC-21</t>
        </is>
      </c>
      <c r="B30" s="5" t="inlineStr">
        <is>
          <t>카드 플레이</t>
        </is>
      </c>
      <c r="C30" s="6" t="inlineStr">
        <is>
          <t>Unplayable(저주/상태이상) 카드 플레이 시도</t>
        </is>
      </c>
      <c r="D30" s="5" t="inlineStr">
        <is>
          <t>High</t>
        </is>
      </c>
      <c r="E30" s="5" t="inlineStr">
        <is>
          <t>예외</t>
        </is>
      </c>
      <c r="F30" s="5" t="inlineStr">
        <is>
          <t>EP</t>
        </is>
      </c>
      <c r="G30" s="6" t="inlineStr">
        <is>
          <t>기본 상태(에너지 3, 턴 시작 드로우 5, 물약 슬롯 3) 플레이어. 별도 명시 없으면 버프·디버프·방어도 없음.</t>
        </is>
      </c>
      <c r="H30" s="6" t="inlineStr">
        <is>
          <t>1) 플레이어 턴
2) 지정 카드를 대상에게 사용
3) 에너지·피해·상태 확인</t>
        </is>
      </c>
      <c r="I30" s="6" t="inlineStr">
        <is>
          <t>손패에 Unplayable 카드</t>
        </is>
      </c>
      <c r="J30" s="6" t="inlineStr">
        <is>
          <t>플레이 무효, 에너지·손패 불변</t>
        </is>
      </c>
      <c r="K30" s="7" t="n"/>
      <c r="L30" s="8" t="inlineStr">
        <is>
          <t>Not Run</t>
        </is>
      </c>
      <c r="M30" s="6" t="n"/>
    </row>
    <row r="31" ht="66" customHeight="1" s="13">
      <c r="A31" s="5" t="inlineStr">
        <is>
          <t>TC-22</t>
        </is>
      </c>
      <c r="B31" s="5" t="inlineStr">
        <is>
          <t>카드 플레이</t>
        </is>
      </c>
      <c r="C31" s="6" t="inlineStr">
        <is>
          <t>대상 지정 필요한 카드를 대상 없이 확정</t>
        </is>
      </c>
      <c r="D31" s="5" t="inlineStr">
        <is>
          <t>High</t>
        </is>
      </c>
      <c r="E31" s="5" t="inlineStr">
        <is>
          <t>예외</t>
        </is>
      </c>
      <c r="F31" s="5" t="inlineStr">
        <is>
          <t>EP</t>
        </is>
      </c>
      <c r="G31" s="6" t="inlineStr">
        <is>
          <t>기본 상태(에너지 3, 턴 시작 드로우 5, 물약 슬롯 3) 플레이어. 별도 명시 없으면 버프·디버프·방어도 없음.</t>
        </is>
      </c>
      <c r="H31" s="6" t="inlineStr">
        <is>
          <t>1) 플레이어 턴
2) 지정 카드를 대상에게 사용
3) 에너지·피해·상태 확인</t>
        </is>
      </c>
      <c r="I31" s="6" t="inlineStr">
        <is>
          <t>단일 대상 공격 카드, 대상 미지정</t>
        </is>
      </c>
      <c r="J31" s="6" t="inlineStr">
        <is>
          <t>플레이 확정 불가 (취소)</t>
        </is>
      </c>
      <c r="K31" s="7" t="n"/>
      <c r="L31" s="8" t="inlineStr">
        <is>
          <t>Not Run</t>
        </is>
      </c>
      <c r="M31" s="6" t="n"/>
    </row>
    <row r="32" ht="66" customHeight="1" s="13">
      <c r="A32" s="5" t="inlineStr">
        <is>
          <t>TC-23</t>
        </is>
      </c>
      <c r="B32" s="5" t="inlineStr">
        <is>
          <t>카드 플레이</t>
        </is>
      </c>
      <c r="C32" s="6" t="inlineStr">
        <is>
          <t>다단 히트 카드 각 히트마다 힘 개별 적용</t>
        </is>
      </c>
      <c r="D32" s="5" t="inlineStr">
        <is>
          <t>Low</t>
        </is>
      </c>
      <c r="E32" s="5" t="inlineStr">
        <is>
          <t>정상</t>
        </is>
      </c>
      <c r="F32" s="5" t="inlineStr">
        <is>
          <t>DT</t>
        </is>
      </c>
      <c r="G32" s="6" t="inlineStr">
        <is>
          <t>기본 상태(에너지 3, 턴 시작 드로우 5, 물약 슬롯 3) 플레이어. 별도 명시 없으면 버프·디버프·방어도 없음. 힘 +2.</t>
        </is>
      </c>
      <c r="H32" s="6" t="inlineStr">
        <is>
          <t>1) 지정 버프/디버프 상태 구성
2) 공격 카드 사용
3) 대상 체력 감소량 확인</t>
        </is>
      </c>
      <c r="I32" s="6" t="inlineStr">
        <is>
          <t>기본 3 피해 × 3히트, 힘 +2</t>
        </is>
      </c>
      <c r="J32" s="6" t="inlineStr">
        <is>
          <t>히트당 5, 총 15 (3×(3+2))</t>
        </is>
      </c>
      <c r="K32" s="7" t="n"/>
      <c r="L32" s="8" t="inlineStr">
        <is>
          <t>Not Run</t>
        </is>
      </c>
      <c r="M32" s="6" t="n"/>
    </row>
    <row r="33" ht="66" customHeight="1" s="13">
      <c r="A33" s="5" t="inlineStr">
        <is>
          <t>TC-24</t>
        </is>
      </c>
      <c r="B33" s="5" t="inlineStr">
        <is>
          <t>방어도</t>
        </is>
      </c>
      <c r="C33" s="6" t="inlineStr">
        <is>
          <t>기본 5 / 민첩 0 / 손상 없음 → +5</t>
        </is>
      </c>
      <c r="D33" s="5" t="inlineStr">
        <is>
          <t>Low</t>
        </is>
      </c>
      <c r="E33" s="5" t="inlineStr">
        <is>
          <t>정상</t>
        </is>
      </c>
      <c r="F33" s="5" t="inlineStr">
        <is>
          <t>EP</t>
        </is>
      </c>
      <c r="G33" s="6" t="inlineStr">
        <is>
          <t>기본 상태(에너지 3, 턴 시작 드로우 5, 물약 슬롯 3) 플레이어. 별도 명시 없으면 버프·디버프·방어도 없음.</t>
        </is>
      </c>
      <c r="H33" s="6" t="inlineStr">
        <is>
          <t>1) 플레이어 턴
2) 방어 카드 사용
3) 획득 방어도 확인</t>
        </is>
      </c>
      <c r="I33" s="6" t="inlineStr">
        <is>
          <t>방어 카드 기본 5</t>
        </is>
      </c>
      <c r="J33" s="6" t="inlineStr">
        <is>
          <t>방어도 +5</t>
        </is>
      </c>
      <c r="K33" s="7" t="n"/>
      <c r="L33" s="8" t="inlineStr">
        <is>
          <t>Not Run</t>
        </is>
      </c>
      <c r="M33" s="6" t="n"/>
    </row>
    <row r="34" ht="66" customHeight="1" s="13">
      <c r="A34" s="5" t="inlineStr">
        <is>
          <t>TC-25</t>
        </is>
      </c>
      <c r="B34" s="5" t="inlineStr">
        <is>
          <t>방어도</t>
        </is>
      </c>
      <c r="C34" s="6" t="inlineStr">
        <is>
          <t>기본 5 / 민첩 +3 → +8</t>
        </is>
      </c>
      <c r="D34" s="5" t="inlineStr">
        <is>
          <t>Low</t>
        </is>
      </c>
      <c r="E34" s="5" t="inlineStr">
        <is>
          <t>정상</t>
        </is>
      </c>
      <c r="F34" s="5" t="inlineStr">
        <is>
          <t>DT</t>
        </is>
      </c>
      <c r="G34" s="6" t="inlineStr">
        <is>
          <t>기본 상태(에너지 3, 턴 시작 드로우 5, 물약 슬롯 3) 플레이어. 별도 명시 없으면 버프·디버프·방어도 없음. 민첩 +3.</t>
        </is>
      </c>
      <c r="H34" s="6" t="inlineStr">
        <is>
          <t>1) 플레이어 턴
2) 방어 카드 사용
3) 획득 방어도 확인</t>
        </is>
      </c>
      <c r="I34" s="6" t="inlineStr">
        <is>
          <t>방어 카드 기본 5, 민첩 +3</t>
        </is>
      </c>
      <c r="J34" s="6" t="inlineStr">
        <is>
          <t>방어도 +8</t>
        </is>
      </c>
      <c r="K34" s="7" t="n"/>
      <c r="L34" s="8" t="inlineStr">
        <is>
          <t>Not Run</t>
        </is>
      </c>
      <c r="M34" s="6" t="n"/>
    </row>
    <row r="35" ht="66" customHeight="1" s="13">
      <c r="A35" s="5" t="inlineStr">
        <is>
          <t>TC-26</t>
        </is>
      </c>
      <c r="B35" s="5" t="inlineStr">
        <is>
          <t>방어도</t>
        </is>
      </c>
      <c r="C35" s="6" t="inlineStr">
        <is>
          <t>기본 5 / 손상 → floor(5×0.75)=3</t>
        </is>
      </c>
      <c r="D35" s="5" t="inlineStr">
        <is>
          <t>Medium</t>
        </is>
      </c>
      <c r="E35" s="5" t="inlineStr">
        <is>
          <t>경계</t>
        </is>
      </c>
      <c r="F35" s="5" t="inlineStr">
        <is>
          <t>DT</t>
        </is>
      </c>
      <c r="G35" s="6" t="inlineStr">
        <is>
          <t>기본 상태(에너지 3, 턴 시작 드로우 5, 물약 슬롯 3) 플레이어. 별도 명시 없으면 버프·디버프·방어도 없음. 손상 보유.</t>
        </is>
      </c>
      <c r="H35" s="6" t="inlineStr">
        <is>
          <t>1) 플레이어 턴
2) 방어 카드 사용
3) 획득 방어도 확인</t>
        </is>
      </c>
      <c r="I35" s="6" t="inlineStr">
        <is>
          <t>방어 카드 기본 5, 민첩 0, 손상</t>
        </is>
      </c>
      <c r="J35" s="6" t="inlineStr">
        <is>
          <t>방어도 +3</t>
        </is>
      </c>
      <c r="K35" s="7" t="n"/>
      <c r="L35" s="8" t="inlineStr">
        <is>
          <t>Not Run</t>
        </is>
      </c>
      <c r="M35" s="6" t="inlineStr">
        <is>
          <t>소수 버림</t>
        </is>
      </c>
    </row>
    <row r="36" ht="66" customHeight="1" s="13">
      <c r="A36" s="5" t="inlineStr">
        <is>
          <t>TC-27</t>
        </is>
      </c>
      <c r="B36" s="5" t="inlineStr">
        <is>
          <t>방어도</t>
        </is>
      </c>
      <c r="C36" s="6" t="inlineStr">
        <is>
          <t>기본 5 / 민첩 +3 / 손상 → floor(8×0.75)=6</t>
        </is>
      </c>
      <c r="D36" s="5" t="inlineStr">
        <is>
          <t>Medium</t>
        </is>
      </c>
      <c r="E36" s="5" t="inlineStr">
        <is>
          <t>경계</t>
        </is>
      </c>
      <c r="F36" s="5" t="inlineStr">
        <is>
          <t>DT</t>
        </is>
      </c>
      <c r="G36" s="6" t="inlineStr">
        <is>
          <t>기본 상태(에너지 3, 턴 시작 드로우 5, 물약 슬롯 3) 플레이어. 별도 명시 없으면 버프·디버프·방어도 없음. 민첩 +3, 손상 보유.</t>
        </is>
      </c>
      <c r="H36" s="6" t="inlineStr">
        <is>
          <t>1) 플레이어 턴
2) 방어 카드 사용
3) 획득 방어도 확인</t>
        </is>
      </c>
      <c r="I36" s="6" t="inlineStr">
        <is>
          <t>방어 카드 기본 5, 민첩 +3, 손상</t>
        </is>
      </c>
      <c r="J36" s="6" t="inlineStr">
        <is>
          <t>방어도 +6</t>
        </is>
      </c>
      <c r="K36" s="7" t="n"/>
      <c r="L36" s="8" t="inlineStr">
        <is>
          <t>Not Run</t>
        </is>
      </c>
      <c r="M36" s="6" t="inlineStr">
        <is>
          <t>(5+3)×0.75 = 6</t>
        </is>
      </c>
    </row>
    <row r="37" ht="66" customHeight="1" s="13">
      <c r="A37" s="5" t="inlineStr">
        <is>
          <t>TC-28</t>
        </is>
      </c>
      <c r="B37" s="5" t="inlineStr">
        <is>
          <t>방어도</t>
        </is>
      </c>
      <c r="C37" s="6" t="inlineStr">
        <is>
          <t>공격 피해 10 / 방어도 10 → 체력 0</t>
        </is>
      </c>
      <c r="D37" s="5" t="inlineStr">
        <is>
          <t>Medium</t>
        </is>
      </c>
      <c r="E37" s="5" t="inlineStr">
        <is>
          <t>경계</t>
        </is>
      </c>
      <c r="F37" s="5" t="inlineStr">
        <is>
          <t>BVA</t>
        </is>
      </c>
      <c r="G37" s="6" t="inlineStr">
        <is>
          <t>기본 상태(에너지 3, 턴 시작 드로우 5, 물약 슬롯 3) 플레이어. 별도 명시 없으면 버프·디버프·방어도 없음. 방어도 10.</t>
        </is>
      </c>
      <c r="H37" s="6" t="inlineStr">
        <is>
          <t>1) 지정 버프/디버프 상태 구성
2) 공격 카드 사용
3) 대상 체력 감소량 확인</t>
        </is>
      </c>
      <c r="I37" s="6" t="inlineStr">
        <is>
          <t>받는 공격 피해 10, 방어도 10</t>
        </is>
      </c>
      <c r="J37" s="6" t="inlineStr">
        <is>
          <t>체력 감소 0, 방어도 0</t>
        </is>
      </c>
      <c r="K37" s="7" t="n"/>
      <c r="L37" s="8" t="inlineStr">
        <is>
          <t>Not Run</t>
        </is>
      </c>
      <c r="M37" s="6" t="inlineStr">
        <is>
          <t>정확히 상쇄</t>
        </is>
      </c>
    </row>
    <row r="38" ht="66" customHeight="1" s="13">
      <c r="A38" s="5" t="inlineStr">
        <is>
          <t>TC-29</t>
        </is>
      </c>
      <c r="B38" s="5" t="inlineStr">
        <is>
          <t>방어도</t>
        </is>
      </c>
      <c r="C38" s="6" t="inlineStr">
        <is>
          <t>공격 피해 11 / 방어도 10 → 체력 1 감소</t>
        </is>
      </c>
      <c r="D38" s="5" t="inlineStr">
        <is>
          <t>Medium</t>
        </is>
      </c>
      <c r="E38" s="5" t="inlineStr">
        <is>
          <t>경계</t>
        </is>
      </c>
      <c r="F38" s="5" t="inlineStr">
        <is>
          <t>BVA</t>
        </is>
      </c>
      <c r="G38" s="6" t="inlineStr">
        <is>
          <t>기본 상태(에너지 3, 턴 시작 드로우 5, 물약 슬롯 3) 플레이어. 별도 명시 없으면 버프·디버프·방어도 없음. 방어도 10.</t>
        </is>
      </c>
      <c r="H38" s="6" t="inlineStr">
        <is>
          <t>1) 지정 버프/디버프 상태 구성
2) 공격 카드 사용
3) 대상 체력 감소량 확인</t>
        </is>
      </c>
      <c r="I38" s="6" t="inlineStr">
        <is>
          <t>받는 공격 피해 11, 방어도 10</t>
        </is>
      </c>
      <c r="J38" s="6" t="inlineStr">
        <is>
          <t>체력 1 감소, 방어도 0 (음수 아님)</t>
        </is>
      </c>
      <c r="K38" s="7" t="n"/>
      <c r="L38" s="8" t="inlineStr">
        <is>
          <t>Not Run</t>
        </is>
      </c>
      <c r="M38" s="6" t="inlineStr">
        <is>
          <t>상한+1</t>
        </is>
      </c>
    </row>
    <row r="39" ht="66" customHeight="1" s="13">
      <c r="A39" s="5" t="inlineStr">
        <is>
          <t>TC-30</t>
        </is>
      </c>
      <c r="B39" s="5" t="inlineStr">
        <is>
          <t>방어도</t>
        </is>
      </c>
      <c r="C39" s="6" t="inlineStr">
        <is>
          <t>공격 피해 8 / 방어도 10 → 방어도 2 잔여</t>
        </is>
      </c>
      <c r="D39" s="5" t="inlineStr">
        <is>
          <t>Low</t>
        </is>
      </c>
      <c r="E39" s="5" t="inlineStr">
        <is>
          <t>정상</t>
        </is>
      </c>
      <c r="F39" s="5" t="inlineStr">
        <is>
          <t>BVA</t>
        </is>
      </c>
      <c r="G39" s="6" t="inlineStr">
        <is>
          <t>기본 상태(에너지 3, 턴 시작 드로우 5, 물약 슬롯 3) 플레이어. 별도 명시 없으면 버프·디버프·방어도 없음. 방어도 10.</t>
        </is>
      </c>
      <c r="H39" s="6" t="inlineStr">
        <is>
          <t>1) 지정 버프/디버프 상태 구성
2) 공격 카드 사용
3) 대상 체력 감소량 확인</t>
        </is>
      </c>
      <c r="I39" s="6" t="inlineStr">
        <is>
          <t>받는 공격 피해 8, 방어도 10</t>
        </is>
      </c>
      <c r="J39" s="6" t="inlineStr">
        <is>
          <t>체력 감소 0, 방어도 2 잔여</t>
        </is>
      </c>
      <c r="K39" s="7" t="n"/>
      <c r="L39" s="8" t="inlineStr">
        <is>
          <t>Not Run</t>
        </is>
      </c>
      <c r="M39" s="6" t="n"/>
    </row>
    <row r="40" ht="66" customHeight="1" s="13">
      <c r="A40" s="5" t="inlineStr">
        <is>
          <t>TC-31</t>
        </is>
      </c>
      <c r="B40" s="5" t="inlineStr">
        <is>
          <t>방어도</t>
        </is>
      </c>
      <c r="C40" s="6" t="inlineStr">
        <is>
          <t>방어도는 다음 턴 시작 시 사라짐</t>
        </is>
      </c>
      <c r="D40" s="5" t="inlineStr">
        <is>
          <t>Low</t>
        </is>
      </c>
      <c r="E40" s="5" t="inlineStr">
        <is>
          <t>정상</t>
        </is>
      </c>
      <c r="F40" s="5" t="inlineStr">
        <is>
          <t>ST</t>
        </is>
      </c>
      <c r="G40" s="6" t="inlineStr">
        <is>
          <t>기본 상태(에너지 3, 턴 시작 드로우 5, 물약 슬롯 3) 플레이어. 별도 명시 없으면 버프·디버프·방어도 없음. 방어도 6.</t>
        </is>
      </c>
      <c r="H40" s="6" t="inlineStr">
        <is>
          <t>1) 조건 구성
2) 턴 종료 실행
3) 다음 상태 확인</t>
        </is>
      </c>
      <c r="I40" s="6" t="inlineStr">
        <is>
          <t>방어도 6으로 턴 종료</t>
        </is>
      </c>
      <c r="J40" s="6" t="inlineStr">
        <is>
          <t>다음 플레이어 턴 시작 시 방어도 0</t>
        </is>
      </c>
      <c r="K40" s="7" t="n"/>
      <c r="L40" s="8" t="inlineStr">
        <is>
          <t>Not Run</t>
        </is>
      </c>
      <c r="M40" s="6" t="n"/>
    </row>
    <row r="41" ht="66" customHeight="1" s="13">
      <c r="A41" s="5" t="inlineStr">
        <is>
          <t>TC-32</t>
        </is>
      </c>
      <c r="B41" s="5" t="inlineStr">
        <is>
          <t>방어도</t>
        </is>
      </c>
      <c r="C41" s="6" t="inlineStr">
        <is>
          <t>중독 체력 손실은 방어도 무시</t>
        </is>
      </c>
      <c r="D41" s="5" t="inlineStr">
        <is>
          <t>High</t>
        </is>
      </c>
      <c r="E41" s="5" t="inlineStr">
        <is>
          <t>예외</t>
        </is>
      </c>
      <c r="F41" s="5" t="inlineStr">
        <is>
          <t>DT</t>
        </is>
      </c>
      <c r="G41" s="6" t="inlineStr">
        <is>
          <t>기본 상태(에너지 3, 턴 시작 드로우 5, 물약 슬롯 3) 플레이어. 별도 명시 없으면 버프·디버프·방어도 없음. 방어도 8, 중독 3.</t>
        </is>
      </c>
      <c r="H41" s="6" t="inlineStr">
        <is>
          <t>1) 조건 구성
2) 턴 진행
3) 결과 확인</t>
        </is>
      </c>
      <c r="I41" s="6" t="inlineStr">
        <is>
          <t>턴 시작 시 중독 3 처리, 방어도 8 보유</t>
        </is>
      </c>
      <c r="J41" s="6" t="inlineStr">
        <is>
          <t>체력 3 감소, 방어도 8 유지 (방어도 무시)</t>
        </is>
      </c>
      <c r="K41" s="7" t="n"/>
      <c r="L41" s="8" t="inlineStr">
        <is>
          <t>Not Run</t>
        </is>
      </c>
      <c r="M41" s="6" t="n"/>
    </row>
    <row r="42" ht="66" customHeight="1" s="13">
      <c r="A42" s="5" t="inlineStr">
        <is>
          <t>TC-33</t>
        </is>
      </c>
      <c r="B42" s="5" t="inlineStr">
        <is>
          <t>피해 계산</t>
        </is>
      </c>
      <c r="C42" s="6" t="inlineStr">
        <is>
          <t>기본 6 + 힘 2 = 8 (수정자 없음)</t>
        </is>
      </c>
      <c r="D42" s="5" t="inlineStr">
        <is>
          <t>Low</t>
        </is>
      </c>
      <c r="E42" s="5" t="inlineStr">
        <is>
          <t>정상</t>
        </is>
      </c>
      <c r="F42" s="5" t="inlineStr">
        <is>
          <t>EP</t>
        </is>
      </c>
      <c r="G42" s="6" t="inlineStr">
        <is>
          <t>기본 상태(에너지 3, 턴 시작 드로우 5, 물약 슬롯 3) 플레이어. 별도 명시 없으면 버프·디버프·방어도 없음. 힘 +2.</t>
        </is>
      </c>
      <c r="H42" s="6" t="inlineStr">
        <is>
          <t>1) 지정 버프/디버프 상태 구성
2) 공격 카드 사용
3) 대상 체력 감소량 확인</t>
        </is>
      </c>
      <c r="I42" s="6" t="inlineStr">
        <is>
          <t>기본 6, 힘 +2, 약화·취약 없음, 방어도 0</t>
        </is>
      </c>
      <c r="J42" s="6" t="inlineStr">
        <is>
          <t>체력 8 감소</t>
        </is>
      </c>
      <c r="K42" s="7" t="n"/>
      <c r="L42" s="8" t="inlineStr">
        <is>
          <t>Not Run</t>
        </is>
      </c>
      <c r="M42" s="6" t="n"/>
    </row>
    <row r="43" ht="66" customHeight="1" s="13">
      <c r="A43" s="5" t="inlineStr">
        <is>
          <t>TC-34</t>
        </is>
      </c>
      <c r="B43" s="5" t="inlineStr">
        <is>
          <t>피해 계산</t>
        </is>
      </c>
      <c r="C43" s="6" t="inlineStr">
        <is>
          <t>공격자 약화 → floor(6×0.75)=4</t>
        </is>
      </c>
      <c r="D43" s="5" t="inlineStr">
        <is>
          <t>Medium</t>
        </is>
      </c>
      <c r="E43" s="5" t="inlineStr">
        <is>
          <t>경계</t>
        </is>
      </c>
      <c r="F43" s="5" t="inlineStr">
        <is>
          <t>DT</t>
        </is>
      </c>
      <c r="G43" s="6" t="inlineStr">
        <is>
          <t>기본 상태(에너지 3, 턴 시작 드로우 5, 물약 슬롯 3) 플레이어. 별도 명시 없으면 버프·디버프·방어도 없음. 공격자 약화 보유.</t>
        </is>
      </c>
      <c r="H43" s="6" t="inlineStr">
        <is>
          <t>1) 지정 버프/디버프 상태 구성
2) 공격 카드 사용
3) 대상 체력 감소량 확인</t>
        </is>
      </c>
      <c r="I43" s="6" t="inlineStr">
        <is>
          <t>기본 6, 약화 ON</t>
        </is>
      </c>
      <c r="J43" s="6" t="inlineStr">
        <is>
          <t>체력 4 감소</t>
        </is>
      </c>
      <c r="K43" s="7" t="n"/>
      <c r="L43" s="8" t="inlineStr">
        <is>
          <t>Not Run</t>
        </is>
      </c>
      <c r="M43" s="6" t="inlineStr">
        <is>
          <t>2번 규칙, 소수 버림</t>
        </is>
      </c>
    </row>
    <row r="44" ht="66" customHeight="1" s="13">
      <c r="A44" s="5" t="inlineStr">
        <is>
          <t>TC-35</t>
        </is>
      </c>
      <c r="B44" s="5" t="inlineStr">
        <is>
          <t>피해 계산</t>
        </is>
      </c>
      <c r="C44" s="6" t="inlineStr">
        <is>
          <t>대상 취약 → floor(6×1.5)=9</t>
        </is>
      </c>
      <c r="D44" s="5" t="inlineStr">
        <is>
          <t>Medium</t>
        </is>
      </c>
      <c r="E44" s="5" t="inlineStr">
        <is>
          <t>경계</t>
        </is>
      </c>
      <c r="F44" s="5" t="inlineStr">
        <is>
          <t>DT</t>
        </is>
      </c>
      <c r="G44" s="6" t="inlineStr">
        <is>
          <t>기본 상태(에너지 3, 턴 시작 드로우 5, 물약 슬롯 3) 플레이어. 별도 명시 없으면 버프·디버프·방어도 없음. 대상 취약 보유.</t>
        </is>
      </c>
      <c r="H44" s="6" t="inlineStr">
        <is>
          <t>1) 지정 버프/디버프 상태 구성
2) 공격 카드 사용
3) 대상 체력 감소량 확인</t>
        </is>
      </c>
      <c r="I44" s="6" t="inlineStr">
        <is>
          <t>기본 6, 취약 ON</t>
        </is>
      </c>
      <c r="J44" s="6" t="inlineStr">
        <is>
          <t>체력 9 감소</t>
        </is>
      </c>
      <c r="K44" s="7" t="n"/>
      <c r="L44" s="8" t="inlineStr">
        <is>
          <t>Not Run</t>
        </is>
      </c>
      <c r="M44" s="6" t="inlineStr">
        <is>
          <t>3번 규칙, 소수 버림</t>
        </is>
      </c>
    </row>
    <row r="45" ht="66" customHeight="1" s="13">
      <c r="A45" s="5" t="inlineStr">
        <is>
          <t>TC-36</t>
        </is>
      </c>
      <c r="B45" s="5" t="inlineStr">
        <is>
          <t>피해 계산</t>
        </is>
      </c>
      <c r="C45" s="6" t="inlineStr">
        <is>
          <t>약화 + 취약 동시 → 6</t>
        </is>
      </c>
      <c r="D45" s="5" t="inlineStr">
        <is>
          <t>Low</t>
        </is>
      </c>
      <c r="E45" s="5" t="inlineStr">
        <is>
          <t>정상</t>
        </is>
      </c>
      <c r="F45" s="5" t="inlineStr">
        <is>
          <t>DT</t>
        </is>
      </c>
      <c r="G45" s="6" t="inlineStr">
        <is>
          <t>기본 상태(에너지 3, 턴 시작 드로우 5, 물약 슬롯 3) 플레이어. 별도 명시 없으면 버프·디버프·방어도 없음. 공격자 약화, 대상 취약.</t>
        </is>
      </c>
      <c r="H45" s="6" t="inlineStr">
        <is>
          <t>1) 지정 버프/디버프 상태 구성
2) 공격 카드 사용
3) 대상 체력 감소량 확인</t>
        </is>
      </c>
      <c r="I45" s="6" t="inlineStr">
        <is>
          <t>기본 6, 약화 ON, 취약 ON</t>
        </is>
      </c>
      <c r="J45" s="6" t="inlineStr">
        <is>
          <t>체력 6 감소</t>
        </is>
      </c>
      <c r="K45" s="7" t="n"/>
      <c r="L45" s="8" t="inlineStr">
        <is>
          <t>Not Run</t>
        </is>
      </c>
      <c r="M45" s="6" t="inlineStr">
        <is>
          <t>floor(floor(6×0.75)×1.5) = floor(4×1.5)</t>
        </is>
      </c>
    </row>
    <row r="46" ht="66" customHeight="1" s="13">
      <c r="A46" s="5" t="inlineStr">
        <is>
          <t>TC-37</t>
        </is>
      </c>
      <c r="B46" s="5" t="inlineStr">
        <is>
          <t>피해 계산</t>
        </is>
      </c>
      <c r="C46" s="6" t="inlineStr">
        <is>
          <t>힘 -3 / 기본 2 → 타격당 0</t>
        </is>
      </c>
      <c r="D46" s="5" t="inlineStr">
        <is>
          <t>Medium</t>
        </is>
      </c>
      <c r="E46" s="5" t="inlineStr">
        <is>
          <t>경계</t>
        </is>
      </c>
      <c r="F46" s="5" t="inlineStr">
        <is>
          <t>BVA</t>
        </is>
      </c>
      <c r="G46" s="6" t="inlineStr">
        <is>
          <t>기본 상태(에너지 3, 턴 시작 드로우 5, 물약 슬롯 3) 플레이어. 별도 명시 없으면 버프·디버프·방어도 없음. 힘 -3.</t>
        </is>
      </c>
      <c r="H46" s="6" t="inlineStr">
        <is>
          <t>1) 지정 버프/디버프 상태 구성
2) 공격 카드 사용
3) 대상 체력 감소량 확인</t>
        </is>
      </c>
      <c r="I46" s="6" t="inlineStr">
        <is>
          <t>기본 2, 힘 -3</t>
        </is>
      </c>
      <c r="J46" s="6" t="inlineStr">
        <is>
          <t>타격당 max(0, -1) = 0, 체력 감소 0</t>
        </is>
      </c>
      <c r="K46" s="7" t="n"/>
      <c r="L46" s="8" t="inlineStr">
        <is>
          <t>Not Run</t>
        </is>
      </c>
      <c r="M46" s="6" t="inlineStr">
        <is>
          <t>음수 피해 없음</t>
        </is>
      </c>
    </row>
    <row r="47" ht="66" customHeight="1" s="13">
      <c r="A47" s="5" t="inlineStr">
        <is>
          <t>TC-38</t>
        </is>
      </c>
      <c r="B47" s="5" t="inlineStr">
        <is>
          <t>피해 계산</t>
        </is>
      </c>
      <c r="C47" s="6" t="inlineStr">
        <is>
          <t>힘 -1 / 기본 1 / 3히트 → 총 0</t>
        </is>
      </c>
      <c r="D47" s="5" t="inlineStr">
        <is>
          <t>Medium</t>
        </is>
      </c>
      <c r="E47" s="5" t="inlineStr">
        <is>
          <t>경계</t>
        </is>
      </c>
      <c r="F47" s="5" t="inlineStr">
        <is>
          <t>DT</t>
        </is>
      </c>
      <c r="G47" s="6" t="inlineStr">
        <is>
          <t>기본 상태(에너지 3, 턴 시작 드로우 5, 물약 슬롯 3) 플레이어. 별도 명시 없으면 버프·디버프·방어도 없음. 힘 -1.</t>
        </is>
      </c>
      <c r="H47" s="6" t="inlineStr">
        <is>
          <t>1) 지정 버프/디버프 상태 구성
2) 공격 카드 사용
3) 대상 체력 감소량 확인</t>
        </is>
      </c>
      <c r="I47" s="6" t="inlineStr">
        <is>
          <t>기본 1 × 3히트, 힘 -1</t>
        </is>
      </c>
      <c r="J47" s="6" t="inlineStr">
        <is>
          <t>히트당 0, 총 0</t>
        </is>
      </c>
      <c r="K47" s="7" t="n"/>
      <c r="L47" s="8" t="inlineStr">
        <is>
          <t>Not Run</t>
        </is>
      </c>
      <c r="M47" s="6" t="inlineStr">
        <is>
          <t>히트별 0 하한</t>
        </is>
      </c>
    </row>
    <row r="48" ht="66" customHeight="1" s="13">
      <c r="A48" s="5" t="inlineStr">
        <is>
          <t>TC-39</t>
        </is>
      </c>
      <c r="B48" s="5" t="inlineStr">
        <is>
          <t>피해 계산</t>
        </is>
      </c>
      <c r="C48" s="6" t="inlineStr">
        <is>
          <t>인탱저블 대상에게 20 피해 → 1</t>
        </is>
      </c>
      <c r="D48" s="5" t="inlineStr">
        <is>
          <t>Low</t>
        </is>
      </c>
      <c r="E48" s="5" t="inlineStr">
        <is>
          <t>정상</t>
        </is>
      </c>
      <c r="F48" s="5" t="inlineStr">
        <is>
          <t>DT</t>
        </is>
      </c>
      <c r="G48" s="6" t="inlineStr">
        <is>
          <t>기본 상태(에너지 3, 턴 시작 드로우 5, 물약 슬롯 3) 플레이어. 별도 명시 없으면 버프·디버프·방어도 없음. 대상 인탱저블.</t>
        </is>
      </c>
      <c r="H48" s="6" t="inlineStr">
        <is>
          <t>1) 지정 버프/디버프 상태 구성
2) 공격 카드 사용
3) 대상 체력 감소량 확인</t>
        </is>
      </c>
      <c r="I48" s="6" t="inlineStr">
        <is>
          <t>기본 20 피해, 대상 인탱저블</t>
        </is>
      </c>
      <c r="J48" s="6" t="inlineStr">
        <is>
          <t>체력 1 감소</t>
        </is>
      </c>
      <c r="K48" s="7" t="n"/>
      <c r="L48" s="8" t="inlineStr">
        <is>
          <t>Not Run</t>
        </is>
      </c>
      <c r="M48" s="6" t="n"/>
    </row>
    <row r="49" ht="66" customHeight="1" s="13">
      <c r="A49" s="5" t="inlineStr">
        <is>
          <t>TC-40</t>
        </is>
      </c>
      <c r="B49" s="5" t="inlineStr">
        <is>
          <t>피해 계산</t>
        </is>
      </c>
      <c r="C49" s="6" t="inlineStr">
        <is>
          <t>인탱저블 대상에게 중독 5 → 체력 손실 1</t>
        </is>
      </c>
      <c r="D49" s="5" t="inlineStr">
        <is>
          <t>Medium</t>
        </is>
      </c>
      <c r="E49" s="5" t="inlineStr">
        <is>
          <t>경계</t>
        </is>
      </c>
      <c r="F49" s="5" t="inlineStr">
        <is>
          <t>DT</t>
        </is>
      </c>
      <c r="G49" s="6" t="inlineStr">
        <is>
          <t>기본 상태(에너지 3, 턴 시작 드로우 5, 물약 슬롯 3) 플레이어. 별도 명시 없으면 버프·디버프·방어도 없음. 대상 인탱저블, 중독 5.</t>
        </is>
      </c>
      <c r="H49" s="6" t="inlineStr">
        <is>
          <t>1) 조건 구성
2) 턴 진행
3) 결과 확인</t>
        </is>
      </c>
      <c r="I49" s="6" t="inlineStr">
        <is>
          <t>턴 시작 시 중독 5, 대상 인탱저블</t>
        </is>
      </c>
      <c r="J49" s="6" t="inlineStr">
        <is>
          <t>체력 1 감소</t>
        </is>
      </c>
      <c r="K49" s="7" t="n"/>
      <c r="L49" s="8" t="inlineStr">
        <is>
          <t>Not Run</t>
        </is>
      </c>
      <c r="M49" s="6" t="inlineStr">
        <is>
          <t>[가정] '받는 모든 피해 1' 해석</t>
        </is>
      </c>
    </row>
    <row r="50" ht="66" customHeight="1" s="13">
      <c r="A50" s="5" t="inlineStr">
        <is>
          <t>TC-41</t>
        </is>
      </c>
      <c r="B50" s="5" t="inlineStr">
        <is>
          <t>버프·디버프</t>
        </is>
      </c>
      <c r="C50" s="6" t="inlineStr">
        <is>
          <t>힘 +2 획득 → 지속</t>
        </is>
      </c>
      <c r="D50" s="5" t="inlineStr">
        <is>
          <t>Low</t>
        </is>
      </c>
      <c r="E50" s="5" t="inlineStr">
        <is>
          <t>정상</t>
        </is>
      </c>
      <c r="F50" s="5" t="inlineStr">
        <is>
          <t>EP</t>
        </is>
      </c>
      <c r="G50" s="6" t="inlineStr">
        <is>
          <t>기본 상태(에너지 3, 턴 시작 드로우 5, 물약 슬롯 3) 플레이어. 별도 명시 없으면 버프·디버프·방어도 없음.</t>
        </is>
      </c>
      <c r="H50" s="6" t="inlineStr">
        <is>
          <t>1) 플레이어 턴
2) 지정 카드를 대상에게 사용
3) 에너지·피해·상태 확인</t>
        </is>
      </c>
      <c r="I50" s="6" t="inlineStr">
        <is>
          <t>힘 +2 부여 파워 사용</t>
        </is>
      </c>
      <c r="J50" s="6" t="inlineStr">
        <is>
          <t>이후 모든 공격 타격당 +2, 턴 넘겨도 유지 (자연 감소 없음)</t>
        </is>
      </c>
      <c r="K50" s="7" t="n"/>
      <c r="L50" s="8" t="inlineStr">
        <is>
          <t>Not Run</t>
        </is>
      </c>
      <c r="M50" s="6" t="n"/>
    </row>
    <row r="51" ht="66" customHeight="1" s="13">
      <c r="A51" s="5" t="inlineStr">
        <is>
          <t>TC-42</t>
        </is>
      </c>
      <c r="B51" s="5" t="inlineStr">
        <is>
          <t>버프·디버프</t>
        </is>
      </c>
      <c r="C51" s="6" t="inlineStr">
        <is>
          <t>취약 2 → 2턴 뒤 해제</t>
        </is>
      </c>
      <c r="D51" s="5" t="inlineStr">
        <is>
          <t>Medium</t>
        </is>
      </c>
      <c r="E51" s="5" t="inlineStr">
        <is>
          <t>경계</t>
        </is>
      </c>
      <c r="F51" s="5" t="inlineStr">
        <is>
          <t>ST</t>
        </is>
      </c>
      <c r="G51" s="6" t="inlineStr">
        <is>
          <t>기본 상태(에너지 3, 턴 시작 드로우 5, 물약 슬롯 3) 플레이어. 별도 명시 없으면 버프·디버프·방어도 없음. 플레이어 취약 2.</t>
        </is>
      </c>
      <c r="H51" s="6" t="inlineStr">
        <is>
          <t>1) 조건 구성
2) 턴 종료 실행
3) 다음 상태 확인</t>
        </is>
      </c>
      <c r="I51" s="6" t="inlineStr">
        <is>
          <t>취약 2 보유, 연속 2회 턴 종료</t>
        </is>
      </c>
      <c r="J51" s="6" t="inlineStr">
        <is>
          <t>1회차 종료 후 1, 2회차 종료 후 0 → 해제</t>
        </is>
      </c>
      <c r="K51" s="7" t="n"/>
      <c r="L51" s="8" t="inlineStr">
        <is>
          <t>Not Run</t>
        </is>
      </c>
      <c r="M51" s="6" t="n"/>
    </row>
    <row r="52" ht="66" customHeight="1" s="13">
      <c r="A52" s="5" t="inlineStr">
        <is>
          <t>TC-43</t>
        </is>
      </c>
      <c r="B52" s="5" t="inlineStr">
        <is>
          <t>버프·디버프</t>
        </is>
      </c>
      <c r="C52" s="6" t="inlineStr">
        <is>
          <t>취약 1 → 턴 종료 시 해제, ×1.5 미적용</t>
        </is>
      </c>
      <c r="D52" s="5" t="inlineStr">
        <is>
          <t>Medium</t>
        </is>
      </c>
      <c r="E52" s="5" t="inlineStr">
        <is>
          <t>경계</t>
        </is>
      </c>
      <c r="F52" s="5" t="inlineStr">
        <is>
          <t>BVA</t>
        </is>
      </c>
      <c r="G52" s="6" t="inlineStr">
        <is>
          <t>기본 상태(에너지 3, 턴 시작 드로우 5, 물약 슬롯 3) 플레이어. 별도 명시 없으면 버프·디버프·방어도 없음. 플레이어 취약 1.</t>
        </is>
      </c>
      <c r="H52" s="6" t="inlineStr">
        <is>
          <t>1) 조건 구성
2) 턴 종료 실행
3) 다음 상태 확인</t>
        </is>
      </c>
      <c r="I52" s="6" t="inlineStr">
        <is>
          <t>취약 1 보유, 턴 종료</t>
        </is>
      </c>
      <c r="J52" s="6" t="inlineStr">
        <is>
          <t>취약 0으로 해제, 다음 피격 시 ×1.5 미적용</t>
        </is>
      </c>
      <c r="K52" s="7" t="n"/>
      <c r="L52" s="8" t="inlineStr">
        <is>
          <t>Not Run</t>
        </is>
      </c>
      <c r="M52" s="6" t="inlineStr">
        <is>
          <t>하한 경계</t>
        </is>
      </c>
    </row>
    <row r="53" ht="66" customHeight="1" s="13">
      <c r="A53" s="5" t="inlineStr">
        <is>
          <t>TC-44</t>
        </is>
      </c>
      <c r="B53" s="5" t="inlineStr">
        <is>
          <t>버프·디버프</t>
        </is>
      </c>
      <c r="C53" s="6" t="inlineStr">
        <is>
          <t>중독 4 → 턴 시작 시 4 손실 후 3</t>
        </is>
      </c>
      <c r="D53" s="5" t="inlineStr">
        <is>
          <t>Medium</t>
        </is>
      </c>
      <c r="E53" s="5" t="inlineStr">
        <is>
          <t>경계</t>
        </is>
      </c>
      <c r="F53" s="5" t="inlineStr">
        <is>
          <t>ST</t>
        </is>
      </c>
      <c r="G53" s="6" t="inlineStr">
        <is>
          <t>기본 상태(에너지 3, 턴 시작 드로우 5, 물약 슬롯 3) 플레이어. 별도 명시 없으면 버프·디버프·방어도 없음. 플레이어 중독 4.</t>
        </is>
      </c>
      <c r="H53" s="6" t="inlineStr">
        <is>
          <t>1) 조건 구성
2) 턴 진행
3) 결과 확인</t>
        </is>
      </c>
      <c r="I53" s="6" t="inlineStr">
        <is>
          <t>중독 4 보유, 턴 시작</t>
        </is>
      </c>
      <c r="J53" s="6" t="inlineStr">
        <is>
          <t>체력 4 감소, 중독 3으로 감소</t>
        </is>
      </c>
      <c r="K53" s="7" t="n"/>
      <c r="L53" s="8" t="inlineStr">
        <is>
          <t>Not Run</t>
        </is>
      </c>
      <c r="M53" s="6" t="n"/>
    </row>
    <row r="54" ht="66" customHeight="1" s="13">
      <c r="A54" s="5" t="inlineStr">
        <is>
          <t>TC-45</t>
        </is>
      </c>
      <c r="B54" s="5" t="inlineStr">
        <is>
          <t>버프·디버프</t>
        </is>
      </c>
      <c r="C54" s="6" t="inlineStr">
        <is>
          <t>중독 1 → 턴 시작 시 1 손실 후 해제</t>
        </is>
      </c>
      <c r="D54" s="5" t="inlineStr">
        <is>
          <t>Medium</t>
        </is>
      </c>
      <c r="E54" s="5" t="inlineStr">
        <is>
          <t>경계</t>
        </is>
      </c>
      <c r="F54" s="5" t="inlineStr">
        <is>
          <t>BVA</t>
        </is>
      </c>
      <c r="G54" s="6" t="inlineStr">
        <is>
          <t>기본 상태(에너지 3, 턴 시작 드로우 5, 물약 슬롯 3) 플레이어. 별도 명시 없으면 버프·디버프·방어도 없음. 플레이어 중독 1.</t>
        </is>
      </c>
      <c r="H54" s="6" t="inlineStr">
        <is>
          <t>1) 조건 구성
2) 턴 진행
3) 결과 확인</t>
        </is>
      </c>
      <c r="I54" s="6" t="inlineStr">
        <is>
          <t>중독 1 보유, 턴 시작</t>
        </is>
      </c>
      <c r="J54" s="6" t="inlineStr">
        <is>
          <t>체력 1 감소, 중독 0 → 해제</t>
        </is>
      </c>
      <c r="K54" s="7" t="n"/>
      <c r="L54" s="8" t="inlineStr">
        <is>
          <t>Not Run</t>
        </is>
      </c>
      <c r="M54" s="6" t="inlineStr">
        <is>
          <t>하한 경계</t>
        </is>
      </c>
    </row>
    <row r="55" ht="66" customHeight="1" s="13">
      <c r="A55" s="5" t="inlineStr">
        <is>
          <t>TC-46</t>
        </is>
      </c>
      <c r="B55" s="5" t="inlineStr">
        <is>
          <t>버프·디버프</t>
        </is>
      </c>
      <c r="C55" s="6" t="inlineStr">
        <is>
          <t>아티팩트 1 → 다음 디버프 1개 무효화</t>
        </is>
      </c>
      <c r="D55" s="5" t="inlineStr">
        <is>
          <t>Low</t>
        </is>
      </c>
      <c r="E55" s="5" t="inlineStr">
        <is>
          <t>정상</t>
        </is>
      </c>
      <c r="F55" s="5" t="inlineStr">
        <is>
          <t>DT</t>
        </is>
      </c>
      <c r="G55" s="6" t="inlineStr">
        <is>
          <t>기본 상태(에너지 3, 턴 시작 드로우 5, 물약 슬롯 3) 플레이어. 별도 명시 없으면 버프·디버프·방어도 없음. 플레이어 아티팩트 1.</t>
        </is>
      </c>
      <c r="H55" s="6" t="inlineStr">
        <is>
          <t>1) 조건 구성
2) 턴 진행
3) 결과 확인</t>
        </is>
      </c>
      <c r="I55" s="6" t="inlineStr">
        <is>
          <t>적이 취약 부여 시도</t>
        </is>
      </c>
      <c r="J55" s="6" t="inlineStr">
        <is>
          <t>취약 미적용, 아티팩트 0</t>
        </is>
      </c>
      <c r="K55" s="7" t="n"/>
      <c r="L55" s="8" t="inlineStr">
        <is>
          <t>Not Run</t>
        </is>
      </c>
      <c r="M55" s="6" t="n"/>
    </row>
    <row r="56" ht="66" customHeight="1" s="13">
      <c r="A56" s="5" t="inlineStr">
        <is>
          <t>TC-47</t>
        </is>
      </c>
      <c r="B56" s="5" t="inlineStr">
        <is>
          <t>버프·디버프</t>
        </is>
      </c>
      <c r="C56" s="6" t="inlineStr">
        <is>
          <t>버퍼 1 → 다음 체력 손실 1회 0으로</t>
        </is>
      </c>
      <c r="D56" s="5" t="inlineStr">
        <is>
          <t>Low</t>
        </is>
      </c>
      <c r="E56" s="5" t="inlineStr">
        <is>
          <t>정상</t>
        </is>
      </c>
      <c r="F56" s="5" t="inlineStr">
        <is>
          <t>DT</t>
        </is>
      </c>
      <c r="G56" s="6" t="inlineStr">
        <is>
          <t>기본 상태(에너지 3, 턴 시작 드로우 5, 물약 슬롯 3) 플레이어. 별도 명시 없으면 버프·디버프·방어도 없음. 플레이어 버퍼 1.</t>
        </is>
      </c>
      <c r="H56" s="6" t="inlineStr">
        <is>
          <t>1) 지정 버프/디버프 상태 구성
2) 공격 카드 사용
3) 대상 체력 감소량 확인</t>
        </is>
      </c>
      <c r="I56" s="6" t="inlineStr">
        <is>
          <t>15 피해 유입</t>
        </is>
      </c>
      <c r="J56" s="6" t="inlineStr">
        <is>
          <t>체력 손실 0, 버퍼 0, 이후 피해부터 정상 적용</t>
        </is>
      </c>
      <c r="K56" s="7" t="n"/>
      <c r="L56" s="8" t="inlineStr">
        <is>
          <t>Not Run</t>
        </is>
      </c>
      <c r="M56" s="6" t="n"/>
    </row>
    <row r="57" ht="66" customHeight="1" s="13">
      <c r="A57" s="5" t="inlineStr">
        <is>
          <t>TC-48</t>
        </is>
      </c>
      <c r="B57" s="5" t="inlineStr">
        <is>
          <t>적 의도</t>
        </is>
      </c>
      <c r="C57" s="6" t="inlineStr">
        <is>
          <t>적 공격 의도 숫자 = 실제 타격 피해</t>
        </is>
      </c>
      <c r="D57" s="5" t="inlineStr">
        <is>
          <t>Low</t>
        </is>
      </c>
      <c r="E57" s="5" t="inlineStr">
        <is>
          <t>정상</t>
        </is>
      </c>
      <c r="F57" s="5" t="inlineStr">
        <is>
          <t>EP</t>
        </is>
      </c>
      <c r="G57" s="6" t="inlineStr">
        <is>
          <t>기본 상태(에너지 3, 턴 시작 드로우 5, 물약 슬롯 3) 플레이어. 별도 명시 없으면 버프·디버프·방어도 없음.</t>
        </is>
      </c>
      <c r="H57" s="6" t="inlineStr">
        <is>
          <t>1) 조건 구성
2) 턴 진행
3) 결과 확인</t>
        </is>
      </c>
      <c r="I57" s="6" t="inlineStr">
        <is>
          <t>적 공격 의도 '12' 표시</t>
        </is>
      </c>
      <c r="J57" s="6" t="inlineStr">
        <is>
          <t>적 행동 시 실제 타격 피해 12 (적 힘·플레이어 취약 반영)</t>
        </is>
      </c>
      <c r="K57" s="7" t="n"/>
      <c r="L57" s="8" t="inlineStr">
        <is>
          <t>Not Run</t>
        </is>
      </c>
      <c r="M57" s="6" t="n"/>
    </row>
    <row r="58" ht="66" customHeight="1" s="13">
      <c r="A58" s="5" t="inlineStr">
        <is>
          <t>TC-49</t>
        </is>
      </c>
      <c r="B58" s="5" t="inlineStr">
        <is>
          <t>적 의도</t>
        </is>
      </c>
      <c r="C58" s="6" t="inlineStr">
        <is>
          <t>플레이어 취약 시 의도 숫자에 ×1.5 반영</t>
        </is>
      </c>
      <c r="D58" s="5" t="inlineStr">
        <is>
          <t>Medium</t>
        </is>
      </c>
      <c r="E58" s="5" t="inlineStr">
        <is>
          <t>경계</t>
        </is>
      </c>
      <c r="F58" s="5" t="inlineStr">
        <is>
          <t>DT</t>
        </is>
      </c>
      <c r="G58" s="6" t="inlineStr">
        <is>
          <t>기본 상태(에너지 3, 턴 시작 드로우 5, 물약 슬롯 3) 플레이어. 별도 명시 없으면 버프·디버프·방어도 없음. 플레이어 취약 보유.</t>
        </is>
      </c>
      <c r="H58" s="6" t="inlineStr">
        <is>
          <t>1) 조건 구성
2) 턴 진행
3) 결과 확인</t>
        </is>
      </c>
      <c r="I58" s="6" t="inlineStr">
        <is>
          <t>적 기본 공격 8, 플레이어 취약 ON</t>
        </is>
      </c>
      <c r="J58" s="6" t="inlineStr">
        <is>
          <t>의도에 '12' 표시 (8×1.5), 방어도는 미반영</t>
        </is>
      </c>
      <c r="K58" s="7" t="n"/>
      <c r="L58" s="8" t="inlineStr">
        <is>
          <t>Not Run</t>
        </is>
      </c>
      <c r="M58" s="6" t="inlineStr">
        <is>
          <t>[가정] 명세 §8</t>
        </is>
      </c>
    </row>
    <row r="59" ht="66" customHeight="1" s="13">
      <c r="A59" s="5" t="inlineStr">
        <is>
          <t>TC-50</t>
        </is>
      </c>
      <c r="B59" s="5" t="inlineStr">
        <is>
          <t>적 의도</t>
        </is>
      </c>
      <c r="C59" s="6" t="inlineStr">
        <is>
          <t>다단 공격 의도 표시 형식</t>
        </is>
      </c>
      <c r="D59" s="5" t="inlineStr">
        <is>
          <t>Low</t>
        </is>
      </c>
      <c r="E59" s="5" t="inlineStr">
        <is>
          <t>정상</t>
        </is>
      </c>
      <c r="F59" s="5" t="inlineStr">
        <is>
          <t>EP</t>
        </is>
      </c>
      <c r="G59" s="6" t="inlineStr">
        <is>
          <t>기본 상태(에너지 3, 턴 시작 드로우 5, 물약 슬롯 3) 플레이어. 별도 명시 없으면 버프·디버프·방어도 없음.</t>
        </is>
      </c>
      <c r="H59" s="6" t="inlineStr">
        <is>
          <t>1) 조건 구성
2) 턴 진행
3) 결과 확인</t>
        </is>
      </c>
      <c r="I59" s="6" t="inlineStr">
        <is>
          <t>적이 6 피해 3회 공격 예정</t>
        </is>
      </c>
      <c r="J59" s="6" t="inlineStr">
        <is>
          <t>의도가 '6 × 3'으로 표시</t>
        </is>
      </c>
      <c r="K59" s="7" t="n"/>
      <c r="L59" s="8" t="inlineStr">
        <is>
          <t>Not Run</t>
        </is>
      </c>
      <c r="M59" s="6" t="n"/>
    </row>
    <row r="60" ht="66" customHeight="1" s="13">
      <c r="A60" s="5" t="inlineStr">
        <is>
          <t>TC-51</t>
        </is>
      </c>
      <c r="B60" s="5" t="inlineStr">
        <is>
          <t>적 의도</t>
        </is>
      </c>
      <c r="C60" s="6" t="inlineStr">
        <is>
          <t>방어 의도인 적을 그 턴에 처치</t>
        </is>
      </c>
      <c r="D60" s="5" t="inlineStr">
        <is>
          <t>High</t>
        </is>
      </c>
      <c r="E60" s="5" t="inlineStr">
        <is>
          <t>예외</t>
        </is>
      </c>
      <c r="F60" s="5" t="inlineStr">
        <is>
          <t>ST</t>
        </is>
      </c>
      <c r="G60" s="6" t="inlineStr">
        <is>
          <t>기본 상태(에너지 3, 턴 시작 드로우 5, 물약 슬롯 3) 플레이어. 별도 명시 없으면 버프·디버프·방어도 없음. 적이 방어 의도.</t>
        </is>
      </c>
      <c r="H60" s="6" t="inlineStr">
        <is>
          <t>1) 플레이어 턴
2) 지정 카드를 대상에게 사용
3) 에너지·피해·상태 확인</t>
        </is>
      </c>
      <c r="I60" s="6" t="inlineStr">
        <is>
          <t>방어 의도 적을 처치</t>
        </is>
      </c>
      <c r="J60" s="6" t="inlineStr">
        <is>
          <t>방어 행동이 실행되지 않음 (적 제거)</t>
        </is>
      </c>
      <c r="K60" s="7" t="n"/>
      <c r="L60" s="8" t="inlineStr">
        <is>
          <t>Not Run</t>
        </is>
      </c>
      <c r="M60" s="6" t="n"/>
    </row>
    <row r="61" ht="66" customHeight="1" s="13">
      <c r="A61" s="5" t="inlineStr">
        <is>
          <t>TC-52</t>
        </is>
      </c>
      <c r="B61" s="5" t="inlineStr">
        <is>
          <t>턴 종료</t>
        </is>
      </c>
      <c r="C61" s="6" t="inlineStr">
        <is>
          <t>손패 3장으로 턴 종료 → 버린 더미로</t>
        </is>
      </c>
      <c r="D61" s="5" t="inlineStr">
        <is>
          <t>Low</t>
        </is>
      </c>
      <c r="E61" s="5" t="inlineStr">
        <is>
          <t>정상</t>
        </is>
      </c>
      <c r="F61" s="5" t="inlineStr">
        <is>
          <t>EP</t>
        </is>
      </c>
      <c r="G61" s="6" t="inlineStr">
        <is>
          <t>기본 상태(에너지 3, 턴 시작 드로우 5, 물약 슬롯 3) 플레이어. 별도 명시 없으면 버프·디버프·방어도 없음.</t>
        </is>
      </c>
      <c r="H61" s="6" t="inlineStr">
        <is>
          <t>1) 조건 구성
2) 턴 종료 실행
3) 다음 상태 확인</t>
        </is>
      </c>
      <c r="I61" s="6" t="inlineStr">
        <is>
          <t>손패 3장, Retain·Ethereal 없음</t>
        </is>
      </c>
      <c r="J61" s="6" t="inlineStr">
        <is>
          <t>3장 모두 버린 더미로, 손패 0</t>
        </is>
      </c>
      <c r="K61" s="7" t="n"/>
      <c r="L61" s="8" t="inlineStr">
        <is>
          <t>Not Run</t>
        </is>
      </c>
      <c r="M61" s="6" t="n"/>
    </row>
    <row r="62" ht="66" customHeight="1" s="13">
      <c r="A62" s="5" t="inlineStr">
        <is>
          <t>TC-53</t>
        </is>
      </c>
      <c r="B62" s="5" t="inlineStr">
        <is>
          <t>턴 종료</t>
        </is>
      </c>
      <c r="C62" s="6" t="inlineStr">
        <is>
          <t>Retain 카드는 턴 종료 시 손패에 유지</t>
        </is>
      </c>
      <c r="D62" s="5" t="inlineStr">
        <is>
          <t>Low</t>
        </is>
      </c>
      <c r="E62" s="5" t="inlineStr">
        <is>
          <t>정상</t>
        </is>
      </c>
      <c r="F62" s="5" t="inlineStr">
        <is>
          <t>DT</t>
        </is>
      </c>
      <c r="G62" s="6" t="inlineStr">
        <is>
          <t>기본 상태(에너지 3, 턴 시작 드로우 5, 물약 슬롯 3) 플레이어. 별도 명시 없으면 버프·디버프·방어도 없음.</t>
        </is>
      </c>
      <c r="H62" s="6" t="inlineStr">
        <is>
          <t>1) 조건 구성
2) 턴 종료 실행
3) 다음 상태 확인</t>
        </is>
      </c>
      <c r="I62" s="6" t="inlineStr">
        <is>
          <t>손패에 Retain 특성 카드 포함</t>
        </is>
      </c>
      <c r="J62" s="6" t="inlineStr">
        <is>
          <t>Retain 카드는 손패에 남고 나머지는 버림</t>
        </is>
      </c>
      <c r="K62" s="7" t="n"/>
      <c r="L62" s="8" t="inlineStr">
        <is>
          <t>Not Run</t>
        </is>
      </c>
      <c r="M62" s="6" t="n"/>
    </row>
    <row r="63" ht="66" customHeight="1" s="13">
      <c r="A63" s="5" t="inlineStr">
        <is>
          <t>TC-54</t>
        </is>
      </c>
      <c r="B63" s="5" t="inlineStr">
        <is>
          <t>턴 종료</t>
        </is>
      </c>
      <c r="C63" s="6" t="inlineStr">
        <is>
          <t>Ethereal 카드가 손패에 있으면 소멸</t>
        </is>
      </c>
      <c r="D63" s="5" t="inlineStr">
        <is>
          <t>Medium</t>
        </is>
      </c>
      <c r="E63" s="5" t="inlineStr">
        <is>
          <t>경계</t>
        </is>
      </c>
      <c r="F63" s="5" t="inlineStr">
        <is>
          <t>ST</t>
        </is>
      </c>
      <c r="G63" s="6" t="inlineStr">
        <is>
          <t>기본 상태(에너지 3, 턴 시작 드로우 5, 물약 슬롯 3) 플레이어. 별도 명시 없으면 버프·디버프·방어도 없음.</t>
        </is>
      </c>
      <c r="H63" s="6" t="inlineStr">
        <is>
          <t>1) 조건 구성
2) 턴 종료 실행
3) 다음 상태 확인</t>
        </is>
      </c>
      <c r="I63" s="6" t="inlineStr">
        <is>
          <t>턴 종료 시 손패에 Ethereal 카드</t>
        </is>
      </c>
      <c r="J63" s="6" t="inlineStr">
        <is>
          <t>해당 카드 소멸 (버린 더미 아님)</t>
        </is>
      </c>
      <c r="K63" s="7" t="n"/>
      <c r="L63" s="8" t="inlineStr">
        <is>
          <t>Not Run</t>
        </is>
      </c>
      <c r="M63" s="6" t="n"/>
    </row>
    <row r="64" ht="66" customHeight="1" s="13">
      <c r="A64" s="5" t="inlineStr">
        <is>
          <t>TC-55</t>
        </is>
      </c>
      <c r="B64" s="5" t="inlineStr">
        <is>
          <t>턴 종료</t>
        </is>
      </c>
      <c r="C64" s="6" t="inlineStr">
        <is>
          <t>턴 종료 시 취약/약화 각각 1 감소</t>
        </is>
      </c>
      <c r="D64" s="5" t="inlineStr">
        <is>
          <t>Low</t>
        </is>
      </c>
      <c r="E64" s="5" t="inlineStr">
        <is>
          <t>정상</t>
        </is>
      </c>
      <c r="F64" s="5" t="inlineStr">
        <is>
          <t>ST</t>
        </is>
      </c>
      <c r="G64" s="6" t="inlineStr">
        <is>
          <t>기본 상태(에너지 3, 턴 시작 드로우 5, 물약 슬롯 3) 플레이어. 별도 명시 없으면 버프·디버프·방어도 없음. 플레이어 취약 3, 약화 2.</t>
        </is>
      </c>
      <c r="H64" s="6" t="inlineStr">
        <is>
          <t>1) 조건 구성
2) 턴 종료 실행
3) 다음 상태 확인</t>
        </is>
      </c>
      <c r="I64" s="6" t="inlineStr">
        <is>
          <t>취약 3, 약화 2 보유, 턴 종료</t>
        </is>
      </c>
      <c r="J64" s="6" t="inlineStr">
        <is>
          <t>취약 2, 약화 1로 감소</t>
        </is>
      </c>
      <c r="K64" s="7" t="n"/>
      <c r="L64" s="8" t="inlineStr">
        <is>
          <t>Not Run</t>
        </is>
      </c>
      <c r="M64" s="6" t="n"/>
    </row>
    <row r="65" ht="66" customHeight="1" s="13">
      <c r="A65" s="5" t="inlineStr">
        <is>
          <t>TC-56</t>
        </is>
      </c>
      <c r="B65" s="5" t="inlineStr">
        <is>
          <t>물약</t>
        </is>
      </c>
      <c r="C65" s="6" t="inlineStr">
        <is>
          <t>슬롯 3칸 중 빈 칸에 새 물약 저장</t>
        </is>
      </c>
      <c r="D65" s="5" t="inlineStr">
        <is>
          <t>Low</t>
        </is>
      </c>
      <c r="E65" s="5" t="inlineStr">
        <is>
          <t>정상</t>
        </is>
      </c>
      <c r="F65" s="5" t="inlineStr">
        <is>
          <t>EP</t>
        </is>
      </c>
      <c r="G65" s="6" t="inlineStr">
        <is>
          <t>기본 상태(에너지 3, 턴 시작 드로우 5, 물약 슬롯 3) 플레이어. 별도 명시 없으면 버프·디버프·방어도 없음. 물약 1개 보유.</t>
        </is>
      </c>
      <c r="H65" s="6" t="inlineStr">
        <is>
          <t>1) 조건 구성
2) 물약 획득/사용 시도
3) 결과 확인</t>
        </is>
      </c>
      <c r="I65" s="6" t="inlineStr">
        <is>
          <t>슬롯 1/3 사용, 새 물약 획득</t>
        </is>
      </c>
      <c r="J65" s="6" t="inlineStr">
        <is>
          <t>빈 칸에 저장, 슬롯 2/3</t>
        </is>
      </c>
      <c r="K65" s="7" t="n"/>
      <c r="L65" s="8" t="inlineStr">
        <is>
          <t>Not Run</t>
        </is>
      </c>
      <c r="M65" s="6" t="n"/>
    </row>
    <row r="66" ht="66" customHeight="1" s="13">
      <c r="A66" s="5" t="inlineStr">
        <is>
          <t>TC-57</t>
        </is>
      </c>
      <c r="B66" s="5" t="inlineStr">
        <is>
          <t>물약</t>
        </is>
      </c>
      <c r="C66" s="6" t="inlineStr">
        <is>
          <t>슬롯 3/3 가득에서 새 물약 획득</t>
        </is>
      </c>
      <c r="D66" s="5" t="inlineStr">
        <is>
          <t>Medium</t>
        </is>
      </c>
      <c r="E66" s="5" t="inlineStr">
        <is>
          <t>경계</t>
        </is>
      </c>
      <c r="F66" s="5" t="inlineStr">
        <is>
          <t>BVA</t>
        </is>
      </c>
      <c r="G66" s="6" t="inlineStr">
        <is>
          <t>기본 상태(에너지 3, 턴 시작 드로우 5, 물약 슬롯 3) 플레이어. 별도 명시 없으면 버프·디버프·방어도 없음. 물약 3개 보유.</t>
        </is>
      </c>
      <c r="H66" s="6" t="inlineStr">
        <is>
          <t>1) 조건 구성
2) 물약 획득/사용 시도
3) 결과 확인</t>
        </is>
      </c>
      <c r="I66" s="6" t="inlineStr">
        <is>
          <t>슬롯 3/3, 새 물약 획득 시도</t>
        </is>
      </c>
      <c r="J66" s="6" t="inlineStr">
        <is>
          <t>저장 불가, 버리기/포기 선택 요구</t>
        </is>
      </c>
      <c r="K66" s="7" t="n"/>
      <c r="L66" s="8" t="inlineStr">
        <is>
          <t>Not Run</t>
        </is>
      </c>
      <c r="M66" s="6" t="inlineStr">
        <is>
          <t>상한</t>
        </is>
      </c>
    </row>
    <row r="67" ht="66" customHeight="1" s="13">
      <c r="A67" s="5" t="inlineStr">
        <is>
          <t>TC-58</t>
        </is>
      </c>
      <c r="B67" s="5" t="inlineStr">
        <is>
          <t>물약</t>
        </is>
      </c>
      <c r="C67" s="6" t="inlineStr">
        <is>
          <t>물약 사용 → 에너지 미소모</t>
        </is>
      </c>
      <c r="D67" s="5" t="inlineStr">
        <is>
          <t>Low</t>
        </is>
      </c>
      <c r="E67" s="5" t="inlineStr">
        <is>
          <t>정상</t>
        </is>
      </c>
      <c r="F67" s="5" t="inlineStr">
        <is>
          <t>EP</t>
        </is>
      </c>
      <c r="G67" s="6" t="inlineStr">
        <is>
          <t>기본 상태(에너지 3, 턴 시작 드로우 5, 물약 슬롯 3) 플레이어. 별도 명시 없으면 버프·디버프·방어도 없음. 물약 1개 보유.</t>
        </is>
      </c>
      <c r="H67" s="6" t="inlineStr">
        <is>
          <t>1) 조건 구성
2) 물약 획득/사용 시도
3) 결과 확인</t>
        </is>
      </c>
      <c r="I67" s="6" t="inlineStr">
        <is>
          <t>플레이어 턴에 물약 사용</t>
        </is>
      </c>
      <c r="J67" s="6" t="inlineStr">
        <is>
          <t>효과 적용, 에너지 불변, 슬롯에서 제거</t>
        </is>
      </c>
      <c r="K67" s="7" t="n"/>
      <c r="L67" s="8" t="inlineStr">
        <is>
          <t>Not Run</t>
        </is>
      </c>
      <c r="M67" s="6" t="n"/>
    </row>
    <row r="68" ht="66" customHeight="1" s="13">
      <c r="A68" s="5" t="inlineStr">
        <is>
          <t>TC-59</t>
        </is>
      </c>
      <c r="B68" s="5" t="inlineStr">
        <is>
          <t>물약</t>
        </is>
      </c>
      <c r="C68" s="6" t="inlineStr">
        <is>
          <t>적 턴에 물약 사용 시도</t>
        </is>
      </c>
      <c r="D68" s="5" t="inlineStr">
        <is>
          <t>High</t>
        </is>
      </c>
      <c r="E68" s="5" t="inlineStr">
        <is>
          <t>예외</t>
        </is>
      </c>
      <c r="F68" s="5" t="inlineStr">
        <is>
          <t>EP</t>
        </is>
      </c>
      <c r="G68" s="6" t="inlineStr">
        <is>
          <t>기본 상태(에너지 3, 턴 시작 드로우 5, 물약 슬롯 3) 플레이어. 별도 명시 없으면 버프·디버프·방어도 없음. 물약 1개 보유.</t>
        </is>
      </c>
      <c r="H68" s="6" t="inlineStr">
        <is>
          <t>1) 조건 구성
2) 물약 획득/사용 시도
3) 결과 확인</t>
        </is>
      </c>
      <c r="I68" s="6" t="inlineStr">
        <is>
          <t>적 턴 진행 중 물약 사용 시도</t>
        </is>
      </c>
      <c r="J68" s="6" t="inlineStr">
        <is>
          <t>사용 불가</t>
        </is>
      </c>
      <c r="K68" s="7" t="n"/>
      <c r="L68" s="8" t="inlineStr">
        <is>
          <t>Not Run</t>
        </is>
      </c>
      <c r="M68" s="6" t="inlineStr">
        <is>
          <t>[가정] 명세 §10</t>
        </is>
      </c>
    </row>
    <row r="69" ht="66" customHeight="1" s="13">
      <c r="A69" s="5" t="inlineStr">
        <is>
          <t>TC-60</t>
        </is>
      </c>
      <c r="B69" s="5" t="inlineStr">
        <is>
          <t>전투 종료</t>
        </is>
      </c>
      <c r="C69" s="6" t="inlineStr">
        <is>
          <t>적 체력 2 / 1 피해 → 생존</t>
        </is>
      </c>
      <c r="D69" s="5" t="inlineStr">
        <is>
          <t>Medium</t>
        </is>
      </c>
      <c r="E69" s="5" t="inlineStr">
        <is>
          <t>경계</t>
        </is>
      </c>
      <c r="F69" s="5" t="inlineStr">
        <is>
          <t>BVA</t>
        </is>
      </c>
      <c r="G69" s="6" t="inlineStr">
        <is>
          <t>기본 상태(에너지 3, 턴 시작 드로우 5, 물약 슬롯 3) 플레이어. 별도 명시 없으면 버프·디버프·방어도 없음.</t>
        </is>
      </c>
      <c r="H69" s="6" t="inlineStr">
        <is>
          <t>1) 지정 버프/디버프 상태 구성
2) 공격 카드 사용
3) 대상 체력 감소량 확인</t>
        </is>
      </c>
      <c r="I69" s="6" t="inlineStr">
        <is>
          <t>적 체력 2, 1 피해</t>
        </is>
      </c>
      <c r="J69" s="6" t="inlineStr">
        <is>
          <t>적 생존 (체력 1)</t>
        </is>
      </c>
      <c r="K69" s="7" t="n"/>
      <c r="L69" s="8" t="inlineStr">
        <is>
          <t>Not Run</t>
        </is>
      </c>
      <c r="M69" s="6" t="inlineStr">
        <is>
          <t>하한-1</t>
        </is>
      </c>
    </row>
    <row r="70" ht="66" customHeight="1" s="13">
      <c r="A70" s="5" t="inlineStr">
        <is>
          <t>TC-61</t>
        </is>
      </c>
      <c r="B70" s="5" t="inlineStr">
        <is>
          <t>전투 종료</t>
        </is>
      </c>
      <c r="C70" s="6" t="inlineStr">
        <is>
          <t>적 체력 1 / 1 피해 → 처치</t>
        </is>
      </c>
      <c r="D70" s="5" t="inlineStr">
        <is>
          <t>Medium</t>
        </is>
      </c>
      <c r="E70" s="5" t="inlineStr">
        <is>
          <t>경계</t>
        </is>
      </c>
      <c r="F70" s="5" t="inlineStr">
        <is>
          <t>BVA</t>
        </is>
      </c>
      <c r="G70" s="6" t="inlineStr">
        <is>
          <t>기본 상태(에너지 3, 턴 시작 드로우 5, 물약 슬롯 3) 플레이어. 별도 명시 없으면 버프·디버프·방어도 없음.</t>
        </is>
      </c>
      <c r="H70" s="6" t="inlineStr">
        <is>
          <t>1) 지정 버프/디버프 상태 구성
2) 공격 카드 사용
3) 대상 체력 감소량 확인</t>
        </is>
      </c>
      <c r="I70" s="6" t="inlineStr">
        <is>
          <t>적 체력 1, 1 피해</t>
        </is>
      </c>
      <c r="J70" s="6" t="inlineStr">
        <is>
          <t>적 처치 (체력 0)</t>
        </is>
      </c>
      <c r="K70" s="7" t="n"/>
      <c r="L70" s="8" t="inlineStr">
        <is>
          <t>Not Run</t>
        </is>
      </c>
      <c r="M70" s="6" t="inlineStr">
        <is>
          <t>하한</t>
        </is>
      </c>
    </row>
    <row r="71" ht="66" customHeight="1" s="13">
      <c r="A71" s="5" t="inlineStr">
        <is>
          <t>TC-62</t>
        </is>
      </c>
      <c r="B71" s="5" t="inlineStr">
        <is>
          <t>전투 종료</t>
        </is>
      </c>
      <c r="C71" s="6" t="inlineStr">
        <is>
          <t>마지막 적 처치 → 전투 승리</t>
        </is>
      </c>
      <c r="D71" s="5" t="inlineStr">
        <is>
          <t>Low</t>
        </is>
      </c>
      <c r="E71" s="5" t="inlineStr">
        <is>
          <t>정상</t>
        </is>
      </c>
      <c r="F71" s="5" t="inlineStr">
        <is>
          <t>ST</t>
        </is>
      </c>
      <c r="G71" s="6" t="inlineStr">
        <is>
          <t>기본 상태(에너지 3, 턴 시작 드로우 5, 물약 슬롯 3) 플레이어. 별도 명시 없으면 버프·디버프·방어도 없음. 적 1체만 생존.</t>
        </is>
      </c>
      <c r="H71" s="6" t="inlineStr">
        <is>
          <t>1) 지정 버프/디버프 상태 구성
2) 공격 카드 사용
3) 대상 체력 감소량 확인</t>
        </is>
      </c>
      <c r="I71" s="6" t="inlineStr">
        <is>
          <t>마지막 적 체력 0</t>
        </is>
      </c>
      <c r="J71" s="6" t="inlineStr">
        <is>
          <t>전투 승리, 보상 화면으로 이동</t>
        </is>
      </c>
      <c r="K71" s="7" t="n"/>
      <c r="L71" s="8" t="inlineStr">
        <is>
          <t>Not Run</t>
        </is>
      </c>
      <c r="M71" s="6" t="n"/>
    </row>
    <row r="72" ht="66" customHeight="1" s="13">
      <c r="A72" s="5" t="inlineStr">
        <is>
          <t>TC-63</t>
        </is>
      </c>
      <c r="B72" s="5" t="inlineStr">
        <is>
          <t>전투 종료</t>
        </is>
      </c>
      <c r="C72" s="6" t="inlineStr">
        <is>
          <t>플레이어 체력 5 / 피해 4 → 생존</t>
        </is>
      </c>
      <c r="D72" s="5" t="inlineStr">
        <is>
          <t>Medium</t>
        </is>
      </c>
      <c r="E72" s="5" t="inlineStr">
        <is>
          <t>경계</t>
        </is>
      </c>
      <c r="F72" s="5" t="inlineStr">
        <is>
          <t>BVA</t>
        </is>
      </c>
      <c r="G72" s="6" t="inlineStr">
        <is>
          <t>기본 상태(에너지 3, 턴 시작 드로우 5, 물약 슬롯 3) 플레이어. 별도 명시 없으면 버프·디버프·방어도 없음. 플레이어 체력 5.</t>
        </is>
      </c>
      <c r="H72" s="6" t="inlineStr">
        <is>
          <t>1) 지정 버프/디버프 상태 구성
2) 공격 카드 사용
3) 대상 체력 감소량 확인</t>
        </is>
      </c>
      <c r="I72" s="6" t="inlineStr">
        <is>
          <t>플레이어 체력 5, 피해 4, 방어도 0</t>
        </is>
      </c>
      <c r="J72" s="6" t="inlineStr">
        <is>
          <t>플레이어 생존 (체력 1)</t>
        </is>
      </c>
      <c r="K72" s="7" t="n"/>
      <c r="L72" s="8" t="inlineStr">
        <is>
          <t>Not Run</t>
        </is>
      </c>
      <c r="M72" s="6" t="inlineStr">
        <is>
          <t>하한-1</t>
        </is>
      </c>
    </row>
    <row r="73" ht="66" customHeight="1" s="13">
      <c r="A73" s="5" t="inlineStr">
        <is>
          <t>TC-64</t>
        </is>
      </c>
      <c r="B73" s="5" t="inlineStr">
        <is>
          <t>전투 종료</t>
        </is>
      </c>
      <c r="C73" s="6" t="inlineStr">
        <is>
          <t>플레이어 체력 1 / 피해 1 → 패배</t>
        </is>
      </c>
      <c r="D73" s="5" t="inlineStr">
        <is>
          <t>High</t>
        </is>
      </c>
      <c r="E73" s="5" t="inlineStr">
        <is>
          <t>예외</t>
        </is>
      </c>
      <c r="F73" s="5" t="inlineStr">
        <is>
          <t>BVA</t>
        </is>
      </c>
      <c r="G73" s="6" t="inlineStr">
        <is>
          <t>기본 상태(에너지 3, 턴 시작 드로우 5, 물약 슬롯 3) 플레이어. 별도 명시 없으면 버프·디버프·방어도 없음. 플레이어 체력 1.</t>
        </is>
      </c>
      <c r="H73" s="6" t="inlineStr">
        <is>
          <t>1) 지정 버프/디버프 상태 구성
2) 공격 카드 사용
3) 대상 체력 감소량 확인</t>
        </is>
      </c>
      <c r="I73" s="6" t="inlineStr">
        <is>
          <t>플레이어 체력 1, 피해 1, 방어도 0, 부활 효과 없음</t>
        </is>
      </c>
      <c r="J73" s="6" t="inlineStr">
        <is>
          <t>체력 0 → 전투 패배, 실행(런) 종료</t>
        </is>
      </c>
      <c r="K73" s="7" t="n"/>
      <c r="L73" s="8" t="inlineStr">
        <is>
          <t>Not Run</t>
        </is>
      </c>
      <c r="M73" s="6" t="inlineStr">
        <is>
          <t>하한</t>
        </is>
      </c>
    </row>
    <row r="74" ht="66" customHeight="1" s="13">
      <c r="A74" s="5" t="inlineStr">
        <is>
          <t>TC-65</t>
        </is>
      </c>
      <c r="B74" s="5" t="inlineStr">
        <is>
          <t>전투 종료</t>
        </is>
      </c>
      <c r="C74" s="6" t="inlineStr">
        <is>
          <t>플레이어 체력 0 + 부활 효과 보유</t>
        </is>
      </c>
      <c r="D74" s="5" t="inlineStr">
        <is>
          <t>High</t>
        </is>
      </c>
      <c r="E74" s="5" t="inlineStr">
        <is>
          <t>예외</t>
        </is>
      </c>
      <c r="F74" s="5" t="inlineStr">
        <is>
          <t>DT</t>
        </is>
      </c>
      <c r="G74" s="6" t="inlineStr">
        <is>
          <t>기본 상태(에너지 3, 턴 시작 드로우 5, 물약 슬롯 3) 플레이어. 별도 명시 없으면 버프·디버프·방어도 없음. 플레이어 체력 소량, 부활 유물/물약 보유.</t>
        </is>
      </c>
      <c r="H74" s="6" t="inlineStr">
        <is>
          <t>1) 지정 버프/디버프 상태 구성
2) 공격 카드 사용
3) 대상 체력 감소량 확인</t>
        </is>
      </c>
      <c r="I74" s="6" t="inlineStr">
        <is>
          <t>치명 피해로 체력 0, 부활 효과 1회 보유</t>
        </is>
      </c>
      <c r="J74" s="6" t="inlineStr">
        <is>
          <t>체력 일부로 부활, 전투 계속</t>
        </is>
      </c>
      <c r="K74" s="7" t="n"/>
      <c r="L74" s="8" t="inlineStr">
        <is>
          <t>Not Run</t>
        </is>
      </c>
      <c r="M74" s="6" t="inlineStr">
        <is>
          <t>[가정] 명세 §11</t>
        </is>
      </c>
    </row>
    <row r="75" ht="66" customHeight="1" s="13">
      <c r="A75" s="5" t="inlineStr">
        <is>
          <t>TC-66</t>
        </is>
      </c>
      <c r="B75" s="5" t="inlineStr">
        <is>
          <t>전투 종료</t>
        </is>
      </c>
      <c r="C75" s="6" t="inlineStr">
        <is>
          <t>승리 후 상태 미이월</t>
        </is>
      </c>
      <c r="D75" s="5" t="inlineStr">
        <is>
          <t>Low</t>
        </is>
      </c>
      <c r="E75" s="5" t="inlineStr">
        <is>
          <t>정상</t>
        </is>
      </c>
      <c r="F75" s="5" t="inlineStr">
        <is>
          <t>EP</t>
        </is>
      </c>
      <c r="G75" s="6" t="inlineStr">
        <is>
          <t>기본 상태(에너지 3, 턴 시작 드로우 5, 물약 슬롯 3) 플레이어. 별도 명시 없으면 버프·디버프·방어도 없음.</t>
        </is>
      </c>
      <c r="H75" s="6" t="inlineStr">
        <is>
          <t>1) 조건 구성
2) 턴 진행
3) 결과 확인</t>
        </is>
      </c>
      <c r="I75" s="6" t="inlineStr">
        <is>
          <t>전투 승리 시 방어도·버프·디버프·잔여 에너지 보유</t>
        </is>
      </c>
      <c r="J75" s="6" t="inlineStr">
        <is>
          <t>다음 전투 시작 시 모두 초기화 (이월 없음)</t>
        </is>
      </c>
      <c r="K75" s="7" t="n"/>
      <c r="L75" s="8" t="inlineStr">
        <is>
          <t>Not Run</t>
        </is>
      </c>
      <c r="M75" s="6" t="n"/>
    </row>
    <row r="76"/>
    <row r="77">
      <c r="A77" s="9" t="inlineStr">
        <is>
          <t>범례 / Legend</t>
        </is>
      </c>
    </row>
    <row r="78">
      <c r="A78" s="10" t="inlineStr">
        <is>
          <t>유형  —  정상 · 경계 · 예외 (각 규칙마다 3종 모두 도출)</t>
        </is>
      </c>
    </row>
    <row r="79">
      <c r="A79" s="10" t="inlineStr">
        <is>
          <t>기법  —  EP(동등분할) · BVA(경계값) · DT(결정표) · ST(상태전이)</t>
        </is>
      </c>
    </row>
    <row r="80">
      <c r="A80" s="10" t="inlineStr">
        <is>
          <t>우선순위  —  예외/진행 불가 = High · 경계 = Medium · 정상 = Low</t>
        </is>
      </c>
    </row>
    <row r="81">
      <c r="A81" s="10" t="inlineStr">
        <is>
          <t>상태  —  Pass / Fail / Blocked / N/A / Not Run (드롭다운). 노란색 셀(실제 결과·상태)은 테스터 기입란.</t>
        </is>
      </c>
    </row>
    <row r="82">
      <c r="A82" s="10" t="inlineStr">
        <is>
          <t>[가정] 표기 = 공개 정보 기반 추정값. 실제 게임 버전 스펙으로 확인 필요.</t>
        </is>
      </c>
    </row>
  </sheetData>
  <mergeCells count="6">
    <mergeCell ref="B3:D3"/>
    <mergeCell ref="B5:D5"/>
    <mergeCell ref="A1:M1"/>
    <mergeCell ref="B4:D4"/>
    <mergeCell ref="B6:D6"/>
    <mergeCell ref="B2:D2"/>
  </mergeCells>
  <conditionalFormatting sqref="L10:L75">
    <cfRule type="cellIs" priority="1" operator="equal" dxfId="4">
      <formula>"Pass"</formula>
    </cfRule>
    <cfRule type="cellIs" priority="2" operator="equal" dxfId="3">
      <formula>"Fail"</formula>
    </cfRule>
    <cfRule type="cellIs" priority="3" operator="equal" dxfId="2">
      <formula>"Blocked"</formula>
    </cfRule>
    <cfRule type="cellIs" priority="4" operator="equal" dxfId="1">
      <formula>"N/A"</formula>
    </cfRule>
    <cfRule type="cellIs" priority="5" operator="equal" dxfId="0">
      <formula>"Not Run"</formula>
    </cfRule>
  </conditionalFormatting>
  <dataValidations count="2">
    <dataValidation sqref="L10:L75" showDropDown="0" showInputMessage="0" showErrorMessage="0" allowBlank="1" errorTitle="잘못된 값" error="목록에서 선택하세요" type="list">
      <formula1>"Pass,Fail,Blocked,N/A,Not Run"</formula1>
    </dataValidation>
    <dataValidation sqref="D10:D75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2" customWidth="1" style="13" min="1" max="1"/>
    <col width="60" customWidth="1" style="13" min="2" max="3"/>
  </cols>
  <sheetData>
    <row r="1" ht="24" customHeight="1" s="13">
      <c r="A1" s="14" t="inlineStr">
        <is>
          <t>명세 이슈 (테스트 생성 중 발견) — spec_slay-the-spire-combat.md</t>
        </is>
      </c>
    </row>
    <row r="2">
      <c r="A2" s="4" t="inlineStr">
        <is>
          <t>위치</t>
        </is>
      </c>
      <c r="B2" s="4" t="inlineStr">
        <is>
          <t>문제</t>
        </is>
      </c>
      <c r="C2" s="4" t="inlineStr">
        <is>
          <t>제안</t>
        </is>
      </c>
    </row>
    <row r="3" ht="92.09999999999999" customHeight="1" s="13">
      <c r="A3" s="11" t="inlineStr">
        <is>
          <t>§6 공격 피해 계산 (다단 히트)</t>
        </is>
      </c>
      <c r="B3" s="11" t="inlineStr">
        <is>
          <t>1번은 '타격당 피해 = 기본 + 힘'만 규정하고 2·3번(약화·취약 배수)이 히트마다 적용되는지, 합산 피해에 1회 적용되는지 명시가 없다. TC-23·TC-38의 기대값이 해석에 따라 달라진다.</t>
        </is>
      </c>
      <c r="C3" s="11" t="inlineStr">
        <is>
          <t>'2·3번 배수는 각 히트의 피해에 개별 적용한다'처럼 히트 단위 적용 여부를 명시.</t>
        </is>
      </c>
    </row>
    <row r="4" ht="92.09999999999999" customHeight="1" s="13">
      <c r="A4" s="11" t="inlineStr">
        <is>
          <t>§7 취약/약화/손상 감소 시점</t>
        </is>
      </c>
      <c r="B4" s="11" t="inlineStr">
        <is>
          <t>'대상/보유자의 턴 종료 시 1 감소'로만 되어 있어 적이 보유한 디버프의 감소 시점(적 턴 종료 vs 플레이어 턴 종료)이 §9(플레이어 기준)와 함께 읽으면 모호하다.</t>
        </is>
      </c>
      <c r="C4" s="11" t="inlineStr">
        <is>
          <t>적 보유 디버프는 '적 턴 종료 시' 감소한다고 별도 문장으로 고정.</t>
        </is>
      </c>
    </row>
    <row r="5" ht="92.09999999999999" customHeight="1" s="13">
      <c r="A5" s="11" t="inlineStr">
        <is>
          <t>§5 방어도 획득 하한</t>
        </is>
      </c>
      <c r="B5" s="11" t="inlineStr">
        <is>
          <t>'카드로 얻는 방어도 = (기본 + 민첩)'에서 민첩이 큰 음수여서 결과가 0 미만이 될 때 방어도 획득이 0인지 음수 흡수인지 미정의.</t>
        </is>
      </c>
      <c r="C5" s="11" t="inlineStr">
        <is>
          <t>'(기본 + 민첩)이 0 미만이면 방어도 획득은 0'을 명시.</t>
        </is>
      </c>
    </row>
    <row r="6" ht="92.09999999999999" customHeight="1" s="13">
      <c r="A6" s="11" t="inlineStr">
        <is>
          <t>§3 손패 상한 초과 드로우 · §10 물약 사용 시점 · §11 부활</t>
        </is>
      </c>
      <c r="B6" s="11" t="inlineStr">
        <is>
          <t>세 항목이 `[가정]`으로만 표기됨: 손패 10 초과 시 드로우 취소, 적 턴 물약 사용 불가, 부활 시 회복량.</t>
        </is>
      </c>
      <c r="C6" s="11" t="inlineStr">
        <is>
          <t>실제 게임 버전 기준으로 각 규칙의 정확한 처리(특히 부활 시 회복 체력 계산)를 확정.</t>
        </is>
      </c>
    </row>
  </sheetData>
  <mergeCells count="1">
    <mergeCell ref="A1:C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2026-09-02T02:38:31Z</dcterms:created>
  <dcterms:modified xsi:type="dcterms:W3CDTF">2026-09-09T02:14:00Z</dcterms:modified>
  <cp:lastModifiedBy>YUHAN</cp:lastModifiedBy>
</cp:coreProperties>
</file>